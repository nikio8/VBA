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istandard\Desktop\"/>
    </mc:Choice>
  </mc:AlternateContent>
  <xr:revisionPtr revIDLastSave="0" documentId="13_ncr:40009_{B62CD18A-5988-4E6B-ADB2-44ADC27164F8}" xr6:coauthVersionLast="34" xr6:coauthVersionMax="34" xr10:uidLastSave="{00000000-0000-0000-0000-000000000000}"/>
  <bookViews>
    <workbookView xWindow="0" yWindow="0" windowWidth="19710" windowHeight="11160" activeTab="2"/>
  </bookViews>
  <sheets>
    <sheet name="Importme" sheetId="1" r:id="rId1"/>
    <sheet name="Sheet1" sheetId="2" r:id="rId2"/>
    <sheet name="Sheet2" sheetId="3" r:id="rId3"/>
  </sheets>
  <functionGroups builtInGroupCount="19"/>
  <definedNames>
    <definedName name="ExternalData_1" localSheetId="2" hidden="1">Sheet2!$A$1:$A$236</definedName>
  </definedNames>
  <calcPr calcId="179017"/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F136" i="1"/>
  <c r="G136" i="1"/>
  <c r="B204" i="3"/>
  <c r="B205" i="3"/>
  <c r="B209" i="3"/>
  <c r="B213" i="3"/>
  <c r="B217" i="3"/>
  <c r="B221" i="3"/>
  <c r="B225" i="3"/>
  <c r="B229" i="3"/>
  <c r="B233" i="3"/>
  <c r="B211" i="3"/>
  <c r="B219" i="3"/>
  <c r="B227" i="3"/>
  <c r="B235" i="3"/>
  <c r="B212" i="3"/>
  <c r="B216" i="3"/>
  <c r="B228" i="3"/>
  <c r="B236" i="3"/>
  <c r="B206" i="3"/>
  <c r="B210" i="3"/>
  <c r="B214" i="3"/>
  <c r="B218" i="3"/>
  <c r="B222" i="3"/>
  <c r="B226" i="3"/>
  <c r="B230" i="3"/>
  <c r="B234" i="3"/>
  <c r="B207" i="3"/>
  <c r="B215" i="3"/>
  <c r="B223" i="3"/>
  <c r="B231" i="3"/>
  <c r="B208" i="3"/>
  <c r="B220" i="3"/>
  <c r="B224" i="3"/>
  <c r="B232" i="3"/>
  <c r="C205" i="3"/>
  <c r="C209" i="3"/>
  <c r="C213" i="3"/>
  <c r="C217" i="3"/>
  <c r="C221" i="3"/>
  <c r="C225" i="3"/>
  <c r="C229" i="3"/>
  <c r="C233" i="3"/>
  <c r="D205" i="3"/>
  <c r="D209" i="3"/>
  <c r="D213" i="3"/>
  <c r="D217" i="3"/>
  <c r="D221" i="3"/>
  <c r="D225" i="3"/>
  <c r="D229" i="3"/>
  <c r="D233" i="3"/>
  <c r="C206" i="3"/>
  <c r="C210" i="3"/>
  <c r="C214" i="3"/>
  <c r="C218" i="3"/>
  <c r="C222" i="3"/>
  <c r="C226" i="3"/>
  <c r="C230" i="3"/>
  <c r="C234" i="3"/>
  <c r="D206" i="3"/>
  <c r="D210" i="3"/>
  <c r="D218" i="3"/>
  <c r="D222" i="3"/>
  <c r="D230" i="3"/>
  <c r="C207" i="3"/>
  <c r="C211" i="3"/>
  <c r="C215" i="3"/>
  <c r="C219" i="3"/>
  <c r="C223" i="3"/>
  <c r="C227" i="3"/>
  <c r="C231" i="3"/>
  <c r="C235" i="3"/>
  <c r="D207" i="3"/>
  <c r="D211" i="3"/>
  <c r="D215" i="3"/>
  <c r="D219" i="3"/>
  <c r="D223" i="3"/>
  <c r="D227" i="3"/>
  <c r="D231" i="3"/>
  <c r="D235" i="3"/>
  <c r="C208" i="3"/>
  <c r="C212" i="3"/>
  <c r="C216" i="3"/>
  <c r="C220" i="3"/>
  <c r="C224" i="3"/>
  <c r="C228" i="3"/>
  <c r="C232" i="3"/>
  <c r="C236" i="3"/>
  <c r="D208" i="3"/>
  <c r="D212" i="3"/>
  <c r="D216" i="3"/>
  <c r="D220" i="3"/>
  <c r="D224" i="3"/>
  <c r="D228" i="3"/>
  <c r="D232" i="3"/>
  <c r="D236" i="3"/>
  <c r="D214" i="3"/>
  <c r="D226" i="3"/>
  <c r="D234" i="3"/>
  <c r="B2" i="3"/>
  <c r="B6" i="3"/>
  <c r="B10" i="3"/>
  <c r="B14" i="3"/>
  <c r="B18" i="3"/>
  <c r="B22" i="3"/>
  <c r="B26" i="3"/>
  <c r="B30" i="3"/>
  <c r="B34" i="3"/>
  <c r="B38" i="3"/>
  <c r="B42" i="3"/>
  <c r="B46" i="3"/>
  <c r="B50" i="3"/>
  <c r="B54" i="3"/>
  <c r="B58" i="3"/>
  <c r="B62" i="3"/>
  <c r="B66" i="3"/>
  <c r="B70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86" i="3"/>
  <c r="B190" i="3"/>
  <c r="B194" i="3"/>
  <c r="B198" i="3"/>
  <c r="B202" i="3"/>
  <c r="C3" i="3"/>
  <c r="C7" i="3"/>
  <c r="C11" i="3"/>
  <c r="C15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D4" i="3"/>
  <c r="D8" i="3"/>
  <c r="D12" i="3"/>
  <c r="D16" i="3"/>
  <c r="D20" i="3"/>
  <c r="D24" i="3"/>
  <c r="D28" i="3"/>
  <c r="D32" i="3"/>
  <c r="D36" i="3"/>
  <c r="D40" i="3"/>
  <c r="D44" i="3"/>
  <c r="D48" i="3"/>
  <c r="D52" i="3"/>
  <c r="D56" i="3"/>
  <c r="D60" i="3"/>
  <c r="D64" i="3"/>
  <c r="D68" i="3"/>
  <c r="D72" i="3"/>
  <c r="D76" i="3"/>
  <c r="D80" i="3"/>
  <c r="D84" i="3"/>
  <c r="D88" i="3"/>
  <c r="D92" i="3"/>
  <c r="D9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71" i="3"/>
  <c r="B75" i="3"/>
  <c r="B79" i="3"/>
  <c r="B83" i="3"/>
  <c r="B87" i="3"/>
  <c r="B91" i="3"/>
  <c r="B95" i="3"/>
  <c r="B99" i="3"/>
  <c r="B103" i="3"/>
  <c r="B107" i="3"/>
  <c r="B111" i="3"/>
  <c r="B115" i="3"/>
  <c r="B119" i="3"/>
  <c r="B123" i="3"/>
  <c r="B127" i="3"/>
  <c r="B131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3" i="3"/>
  <c r="C4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140" i="3"/>
  <c r="C144" i="3"/>
  <c r="C148" i="3"/>
  <c r="C152" i="3"/>
  <c r="C156" i="3"/>
  <c r="C160" i="3"/>
  <c r="C164" i="3"/>
  <c r="C168" i="3"/>
  <c r="C172" i="3"/>
  <c r="C176" i="3"/>
  <c r="C180" i="3"/>
  <c r="C184" i="3"/>
  <c r="C188" i="3"/>
  <c r="C192" i="3"/>
  <c r="C196" i="3"/>
  <c r="C200" i="3"/>
  <c r="C204" i="3"/>
  <c r="D5" i="3"/>
  <c r="D9" i="3"/>
  <c r="D13" i="3"/>
  <c r="D17" i="3"/>
  <c r="D21" i="3"/>
  <c r="D25" i="3"/>
  <c r="D29" i="3"/>
  <c r="D33" i="3"/>
  <c r="D37" i="3"/>
  <c r="D41" i="3"/>
  <c r="D45" i="3"/>
  <c r="D49" i="3"/>
  <c r="D53" i="3"/>
  <c r="D57" i="3"/>
  <c r="D61" i="3"/>
  <c r="D65" i="3"/>
  <c r="D69" i="3"/>
  <c r="D73" i="3"/>
  <c r="D77" i="3"/>
  <c r="D81" i="3"/>
  <c r="D85" i="3"/>
  <c r="D89" i="3"/>
  <c r="D93" i="3"/>
  <c r="D97" i="3"/>
  <c r="B4" i="3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60" i="3"/>
  <c r="B64" i="3"/>
  <c r="B68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88" i="3"/>
  <c r="B192" i="3"/>
  <c r="B196" i="3"/>
  <c r="B200" i="3"/>
  <c r="C5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D2" i="3"/>
  <c r="D6" i="3"/>
  <c r="D10" i="3"/>
  <c r="D14" i="3"/>
  <c r="D18" i="3"/>
  <c r="D22" i="3"/>
  <c r="D26" i="3"/>
  <c r="D30" i="3"/>
  <c r="D34" i="3"/>
  <c r="D38" i="3"/>
  <c r="D42" i="3"/>
  <c r="D46" i="3"/>
  <c r="D50" i="3"/>
  <c r="D54" i="3"/>
  <c r="D58" i="3"/>
  <c r="D62" i="3"/>
  <c r="D66" i="3"/>
  <c r="D70" i="3"/>
  <c r="D74" i="3"/>
  <c r="D78" i="3"/>
  <c r="D82" i="3"/>
  <c r="D86" i="3"/>
  <c r="D90" i="3"/>
  <c r="D94" i="3"/>
  <c r="D98" i="3"/>
  <c r="D102" i="3"/>
  <c r="B5" i="3"/>
  <c r="B21" i="3"/>
  <c r="B37" i="3"/>
  <c r="B53" i="3"/>
  <c r="B69" i="3"/>
  <c r="B85" i="3"/>
  <c r="B101" i="3"/>
  <c r="B117" i="3"/>
  <c r="B133" i="3"/>
  <c r="B149" i="3"/>
  <c r="B165" i="3"/>
  <c r="B181" i="3"/>
  <c r="B197" i="3"/>
  <c r="C10" i="3"/>
  <c r="C26" i="3"/>
  <c r="C42" i="3"/>
  <c r="C58" i="3"/>
  <c r="C74" i="3"/>
  <c r="C90" i="3"/>
  <c r="C106" i="3"/>
  <c r="C122" i="3"/>
  <c r="C138" i="3"/>
  <c r="C154" i="3"/>
  <c r="C170" i="3"/>
  <c r="C186" i="3"/>
  <c r="C202" i="3"/>
  <c r="D15" i="3"/>
  <c r="D31" i="3"/>
  <c r="D47" i="3"/>
  <c r="D63" i="3"/>
  <c r="D79" i="3"/>
  <c r="D95" i="3"/>
  <c r="D103" i="3"/>
  <c r="D107" i="3"/>
  <c r="D111" i="3"/>
  <c r="D115" i="3"/>
  <c r="D119" i="3"/>
  <c r="D123" i="3"/>
  <c r="D127" i="3"/>
  <c r="D131" i="3"/>
  <c r="D135" i="3"/>
  <c r="D139" i="3"/>
  <c r="D143" i="3"/>
  <c r="D147" i="3"/>
  <c r="D151" i="3"/>
  <c r="D155" i="3"/>
  <c r="D159" i="3"/>
  <c r="D163" i="3"/>
  <c r="D167" i="3"/>
  <c r="D171" i="3"/>
  <c r="D175" i="3"/>
  <c r="D179" i="3"/>
  <c r="D183" i="3"/>
  <c r="D187" i="3"/>
  <c r="D191" i="3"/>
  <c r="D195" i="3"/>
  <c r="D199" i="3"/>
  <c r="D203" i="3"/>
  <c r="B9" i="3"/>
  <c r="B25" i="3"/>
  <c r="B41" i="3"/>
  <c r="B57" i="3"/>
  <c r="B73" i="3"/>
  <c r="B89" i="3"/>
  <c r="B105" i="3"/>
  <c r="B121" i="3"/>
  <c r="B137" i="3"/>
  <c r="B153" i="3"/>
  <c r="B169" i="3"/>
  <c r="B185" i="3"/>
  <c r="B201" i="3"/>
  <c r="C14" i="3"/>
  <c r="C30" i="3"/>
  <c r="C46" i="3"/>
  <c r="C62" i="3"/>
  <c r="C78" i="3"/>
  <c r="C94" i="3"/>
  <c r="C110" i="3"/>
  <c r="C126" i="3"/>
  <c r="C142" i="3"/>
  <c r="C158" i="3"/>
  <c r="C174" i="3"/>
  <c r="C190" i="3"/>
  <c r="D3" i="3"/>
  <c r="D19" i="3"/>
  <c r="D35" i="3"/>
  <c r="D51" i="3"/>
  <c r="D67" i="3"/>
  <c r="D83" i="3"/>
  <c r="D99" i="3"/>
  <c r="D104" i="3"/>
  <c r="D108" i="3"/>
  <c r="D112" i="3"/>
  <c r="D116" i="3"/>
  <c r="D120" i="3"/>
  <c r="D124" i="3"/>
  <c r="D128" i="3"/>
  <c r="D132" i="3"/>
  <c r="D136" i="3"/>
  <c r="D140" i="3"/>
  <c r="D144" i="3"/>
  <c r="D148" i="3"/>
  <c r="D152" i="3"/>
  <c r="D156" i="3"/>
  <c r="D160" i="3"/>
  <c r="D164" i="3"/>
  <c r="D168" i="3"/>
  <c r="D172" i="3"/>
  <c r="D176" i="3"/>
  <c r="D180" i="3"/>
  <c r="D184" i="3"/>
  <c r="D188" i="3"/>
  <c r="D192" i="3"/>
  <c r="D196" i="3"/>
  <c r="D200" i="3"/>
  <c r="B13" i="3"/>
  <c r="B29" i="3"/>
  <c r="B45" i="3"/>
  <c r="B61" i="3"/>
  <c r="B77" i="3"/>
  <c r="B93" i="3"/>
  <c r="B109" i="3"/>
  <c r="B125" i="3"/>
  <c r="B141" i="3"/>
  <c r="B157" i="3"/>
  <c r="B173" i="3"/>
  <c r="B189" i="3"/>
  <c r="C2" i="3"/>
  <c r="C18" i="3"/>
  <c r="C34" i="3"/>
  <c r="C50" i="3"/>
  <c r="C66" i="3"/>
  <c r="C82" i="3"/>
  <c r="C98" i="3"/>
  <c r="C114" i="3"/>
  <c r="C130" i="3"/>
  <c r="C146" i="3"/>
  <c r="C162" i="3"/>
  <c r="C178" i="3"/>
  <c r="C194" i="3"/>
  <c r="D7" i="3"/>
  <c r="D23" i="3"/>
  <c r="D39" i="3"/>
  <c r="D55" i="3"/>
  <c r="D71" i="3"/>
  <c r="D87" i="3"/>
  <c r="D100" i="3"/>
  <c r="D105" i="3"/>
  <c r="D109" i="3"/>
  <c r="D113" i="3"/>
  <c r="D117" i="3"/>
  <c r="D121" i="3"/>
  <c r="D125" i="3"/>
  <c r="D129" i="3"/>
  <c r="D133" i="3"/>
  <c r="D137" i="3"/>
  <c r="D141" i="3"/>
  <c r="D145" i="3"/>
  <c r="D149" i="3"/>
  <c r="D153" i="3"/>
  <c r="D157" i="3"/>
  <c r="D161" i="3"/>
  <c r="D165" i="3"/>
  <c r="D169" i="3"/>
  <c r="D173" i="3"/>
  <c r="D177" i="3"/>
  <c r="D181" i="3"/>
  <c r="D185" i="3"/>
  <c r="D189" i="3"/>
  <c r="D193" i="3"/>
  <c r="D197" i="3"/>
  <c r="D201" i="3"/>
  <c r="B17" i="3"/>
  <c r="B33" i="3"/>
  <c r="B49" i="3"/>
  <c r="B65" i="3"/>
  <c r="B81" i="3"/>
  <c r="B97" i="3"/>
  <c r="B113" i="3"/>
  <c r="B129" i="3"/>
  <c r="B145" i="3"/>
  <c r="B161" i="3"/>
  <c r="B177" i="3"/>
  <c r="B193" i="3"/>
  <c r="C6" i="3"/>
  <c r="C22" i="3"/>
  <c r="C38" i="3"/>
  <c r="C54" i="3"/>
  <c r="C70" i="3"/>
  <c r="C86" i="3"/>
  <c r="C102" i="3"/>
  <c r="C118" i="3"/>
  <c r="C134" i="3"/>
  <c r="C150" i="3"/>
  <c r="C166" i="3"/>
  <c r="C182" i="3"/>
  <c r="C198" i="3"/>
  <c r="D11" i="3"/>
  <c r="D27" i="3"/>
  <c r="D43" i="3"/>
  <c r="D59" i="3"/>
  <c r="D75" i="3"/>
  <c r="D91" i="3"/>
  <c r="D101" i="3"/>
  <c r="D106" i="3"/>
  <c r="D110" i="3"/>
  <c r="D114" i="3"/>
  <c r="D118" i="3"/>
  <c r="D122" i="3"/>
  <c r="D126" i="3"/>
  <c r="D130" i="3"/>
  <c r="D134" i="3"/>
  <c r="D138" i="3"/>
  <c r="D142" i="3"/>
  <c r="D146" i="3"/>
  <c r="D150" i="3"/>
  <c r="D154" i="3"/>
  <c r="D158" i="3"/>
  <c r="D162" i="3"/>
  <c r="D166" i="3"/>
  <c r="D170" i="3"/>
  <c r="D174" i="3"/>
  <c r="D182" i="3"/>
  <c r="D198" i="3"/>
  <c r="D190" i="3"/>
  <c r="D178" i="3"/>
  <c r="D186" i="3"/>
  <c r="D202" i="3"/>
  <c r="D204" i="3"/>
  <c r="D194" i="3"/>
  <c r="B102" i="1"/>
  <c r="C102" i="1"/>
  <c r="B103" i="1"/>
  <c r="C103" i="1"/>
  <c r="B100" i="1"/>
  <c r="C100" i="1"/>
  <c r="B101" i="1"/>
  <c r="C101" i="1"/>
  <c r="B31" i="1"/>
  <c r="B35" i="1"/>
  <c r="B39" i="1"/>
  <c r="B43" i="1"/>
  <c r="B47" i="1"/>
  <c r="B51" i="1"/>
  <c r="B55" i="1"/>
  <c r="B59" i="1"/>
  <c r="B63" i="1"/>
  <c r="B67" i="1"/>
  <c r="B71" i="1"/>
  <c r="B75" i="1"/>
  <c r="B79" i="1"/>
  <c r="B83" i="1"/>
  <c r="B87" i="1"/>
  <c r="B91" i="1"/>
  <c r="B95" i="1"/>
  <c r="B99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49" i="1"/>
  <c r="B32" i="1"/>
  <c r="B36" i="1"/>
  <c r="B40" i="1"/>
  <c r="B44" i="1"/>
  <c r="B48" i="1"/>
  <c r="B52" i="1"/>
  <c r="B56" i="1"/>
  <c r="B60" i="1"/>
  <c r="B64" i="1"/>
  <c r="B68" i="1"/>
  <c r="B72" i="1"/>
  <c r="B76" i="1"/>
  <c r="B80" i="1"/>
  <c r="B84" i="1"/>
  <c r="B88" i="1"/>
  <c r="B92" i="1"/>
  <c r="B96" i="1"/>
  <c r="C31" i="1"/>
  <c r="C35" i="1"/>
  <c r="C39" i="1"/>
  <c r="C43" i="1"/>
  <c r="C47" i="1"/>
  <c r="C51" i="1"/>
  <c r="C55" i="1"/>
  <c r="C59" i="1"/>
  <c r="C63" i="1"/>
  <c r="C67" i="1"/>
  <c r="C71" i="1"/>
  <c r="C75" i="1"/>
  <c r="C79" i="1"/>
  <c r="C83" i="1"/>
  <c r="C87" i="1"/>
  <c r="C91" i="1"/>
  <c r="C95" i="1"/>
  <c r="C99" i="1"/>
  <c r="B38" i="1"/>
  <c r="B42" i="1"/>
  <c r="B50" i="1"/>
  <c r="B58" i="1"/>
  <c r="B66" i="1"/>
  <c r="B74" i="1"/>
  <c r="B82" i="1"/>
  <c r="B90" i="1"/>
  <c r="C33" i="1"/>
  <c r="C41" i="1"/>
  <c r="C53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B34" i="1"/>
  <c r="B46" i="1"/>
  <c r="B54" i="1"/>
  <c r="B62" i="1"/>
  <c r="B70" i="1"/>
  <c r="B78" i="1"/>
  <c r="B86" i="1"/>
  <c r="B94" i="1"/>
  <c r="B98" i="1"/>
  <c r="C37" i="1"/>
  <c r="C45" i="1"/>
  <c r="C57" i="1"/>
  <c r="C61" i="1"/>
  <c r="C77" i="1"/>
  <c r="C93" i="1"/>
  <c r="C69" i="1"/>
  <c r="C89" i="1"/>
  <c r="C65" i="1"/>
  <c r="C81" i="1"/>
  <c r="C97" i="1"/>
  <c r="C85" i="1"/>
  <c r="C73" i="1"/>
  <c r="C2" i="1"/>
  <c r="C22" i="1"/>
  <c r="C19" i="1"/>
  <c r="C27" i="1"/>
  <c r="C4" i="1"/>
  <c r="C8" i="1"/>
  <c r="C12" i="1"/>
  <c r="C16" i="1"/>
  <c r="C20" i="1"/>
  <c r="C24" i="1"/>
  <c r="C28" i="1"/>
  <c r="C10" i="1"/>
  <c r="C18" i="1"/>
  <c r="C30" i="1"/>
  <c r="C3" i="1"/>
  <c r="C11" i="1"/>
  <c r="C23" i="1"/>
  <c r="C5" i="1"/>
  <c r="C9" i="1"/>
  <c r="C13" i="1"/>
  <c r="C17" i="1"/>
  <c r="C21" i="1"/>
  <c r="C25" i="1"/>
  <c r="C29" i="1"/>
  <c r="C6" i="1"/>
  <c r="C14" i="1"/>
  <c r="C26" i="1"/>
  <c r="C7" i="1"/>
  <c r="C15" i="1"/>
  <c r="B30" i="1"/>
  <c r="B29" i="1"/>
  <c r="B28" i="1"/>
  <c r="B21" i="1"/>
  <c r="B25" i="1"/>
  <c r="B23" i="1"/>
  <c r="B24" i="1"/>
  <c r="B22" i="1"/>
  <c r="B26" i="1"/>
  <c r="B27" i="1"/>
  <c r="B20" i="1"/>
  <c r="B19" i="1"/>
  <c r="B18" i="1"/>
  <c r="B13" i="1"/>
  <c r="B17" i="1"/>
  <c r="B16" i="1"/>
  <c r="B14" i="1"/>
  <c r="B15" i="1"/>
  <c r="B2" i="1"/>
  <c r="B6" i="1"/>
  <c r="B10" i="1"/>
  <c r="B5" i="1"/>
  <c r="B3" i="1"/>
  <c r="B7" i="1"/>
  <c r="B11" i="1"/>
  <c r="B4" i="1"/>
  <c r="B8" i="1"/>
  <c r="B12" i="1"/>
  <c r="B9" i="1"/>
  <c r="E205" i="3" l="1"/>
  <c r="E209" i="3"/>
  <c r="E213" i="3"/>
  <c r="E217" i="3"/>
  <c r="E221" i="3"/>
  <c r="E225" i="3"/>
  <c r="E229" i="3"/>
  <c r="E233" i="3"/>
  <c r="E204" i="3"/>
  <c r="E206" i="3"/>
  <c r="E210" i="3"/>
  <c r="E218" i="3"/>
  <c r="E226" i="3"/>
  <c r="E234" i="3"/>
  <c r="E207" i="3"/>
  <c r="E211" i="3"/>
  <c r="E215" i="3"/>
  <c r="E219" i="3"/>
  <c r="E223" i="3"/>
  <c r="E227" i="3"/>
  <c r="E231" i="3"/>
  <c r="E235" i="3"/>
  <c r="E208" i="3"/>
  <c r="E212" i="3"/>
  <c r="E216" i="3"/>
  <c r="E220" i="3"/>
  <c r="E224" i="3"/>
  <c r="E228" i="3"/>
  <c r="E232" i="3"/>
  <c r="E236" i="3"/>
  <c r="E214" i="3"/>
  <c r="E222" i="3"/>
  <c r="E230" i="3"/>
  <c r="E203" i="3"/>
  <c r="E4" i="3"/>
  <c r="E8" i="3"/>
  <c r="E12" i="3"/>
  <c r="E16" i="3"/>
  <c r="E20" i="3"/>
  <c r="E24" i="3"/>
  <c r="E28" i="3"/>
  <c r="E32" i="3"/>
  <c r="E36" i="3"/>
  <c r="E40" i="3"/>
  <c r="E44" i="3"/>
  <c r="E48" i="3"/>
  <c r="E52" i="3"/>
  <c r="E56" i="3"/>
  <c r="E60" i="3"/>
  <c r="E64" i="3"/>
  <c r="E68" i="3"/>
  <c r="E72" i="3"/>
  <c r="E76" i="3"/>
  <c r="E80" i="3"/>
  <c r="E84" i="3"/>
  <c r="E88" i="3"/>
  <c r="E92" i="3"/>
  <c r="E96" i="3"/>
  <c r="E100" i="3"/>
  <c r="E104" i="3"/>
  <c r="E108" i="3"/>
  <c r="E112" i="3"/>
  <c r="E116" i="3"/>
  <c r="E120" i="3"/>
  <c r="E124" i="3"/>
  <c r="E128" i="3"/>
  <c r="E132" i="3"/>
  <c r="E136" i="3"/>
  <c r="E140" i="3"/>
  <c r="E144" i="3"/>
  <c r="E148" i="3"/>
  <c r="E152" i="3"/>
  <c r="E156" i="3"/>
  <c r="E160" i="3"/>
  <c r="E164" i="3"/>
  <c r="E168" i="3"/>
  <c r="E172" i="3"/>
  <c r="E176" i="3"/>
  <c r="E180" i="3"/>
  <c r="E184" i="3"/>
  <c r="E2" i="3"/>
  <c r="E6" i="3"/>
  <c r="E10" i="3"/>
  <c r="E14" i="3"/>
  <c r="E18" i="3"/>
  <c r="E22" i="3"/>
  <c r="E26" i="3"/>
  <c r="E30" i="3"/>
  <c r="E34" i="3"/>
  <c r="E38" i="3"/>
  <c r="E42" i="3"/>
  <c r="E46" i="3"/>
  <c r="E50" i="3"/>
  <c r="E54" i="3"/>
  <c r="E58" i="3"/>
  <c r="E62" i="3"/>
  <c r="E66" i="3"/>
  <c r="E70" i="3"/>
  <c r="E74" i="3"/>
  <c r="E78" i="3"/>
  <c r="E82" i="3"/>
  <c r="E86" i="3"/>
  <c r="E90" i="3"/>
  <c r="E94" i="3"/>
  <c r="E98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78" i="3"/>
  <c r="E182" i="3"/>
  <c r="E186" i="3"/>
  <c r="E190" i="3"/>
  <c r="E194" i="3"/>
  <c r="E198" i="3"/>
  <c r="E202" i="3"/>
  <c r="E5" i="3"/>
  <c r="E13" i="3"/>
  <c r="E21" i="3"/>
  <c r="E29" i="3"/>
  <c r="E37" i="3"/>
  <c r="E45" i="3"/>
  <c r="E53" i="3"/>
  <c r="E61" i="3"/>
  <c r="E69" i="3"/>
  <c r="E77" i="3"/>
  <c r="E85" i="3"/>
  <c r="E93" i="3"/>
  <c r="E101" i="3"/>
  <c r="E109" i="3"/>
  <c r="E117" i="3"/>
  <c r="E125" i="3"/>
  <c r="E133" i="3"/>
  <c r="E141" i="3"/>
  <c r="E149" i="3"/>
  <c r="E157" i="3"/>
  <c r="E165" i="3"/>
  <c r="E173" i="3"/>
  <c r="E181" i="3"/>
  <c r="E188" i="3"/>
  <c r="E193" i="3"/>
  <c r="E199" i="3"/>
  <c r="E167" i="3"/>
  <c r="E195" i="3"/>
  <c r="E9" i="3"/>
  <c r="E17" i="3"/>
  <c r="E33" i="3"/>
  <c r="E49" i="3"/>
  <c r="E65" i="3"/>
  <c r="E81" i="3"/>
  <c r="E105" i="3"/>
  <c r="E129" i="3"/>
  <c r="E153" i="3"/>
  <c r="E169" i="3"/>
  <c r="E185" i="3"/>
  <c r="E196" i="3"/>
  <c r="E11" i="3"/>
  <c r="E27" i="3"/>
  <c r="E43" i="3"/>
  <c r="E59" i="3"/>
  <c r="E83" i="3"/>
  <c r="E107" i="3"/>
  <c r="E131" i="3"/>
  <c r="E155" i="3"/>
  <c r="E171" i="3"/>
  <c r="E187" i="3"/>
  <c r="E197" i="3"/>
  <c r="E7" i="3"/>
  <c r="E15" i="3"/>
  <c r="E23" i="3"/>
  <c r="E31" i="3"/>
  <c r="E39" i="3"/>
  <c r="E47" i="3"/>
  <c r="E55" i="3"/>
  <c r="E63" i="3"/>
  <c r="E71" i="3"/>
  <c r="E79" i="3"/>
  <c r="E87" i="3"/>
  <c r="E95" i="3"/>
  <c r="E103" i="3"/>
  <c r="E111" i="3"/>
  <c r="E119" i="3"/>
  <c r="E127" i="3"/>
  <c r="E135" i="3"/>
  <c r="E143" i="3"/>
  <c r="E151" i="3"/>
  <c r="E159" i="3"/>
  <c r="E175" i="3"/>
  <c r="E183" i="3"/>
  <c r="E189" i="3"/>
  <c r="E200" i="3"/>
  <c r="E25" i="3"/>
  <c r="E41" i="3"/>
  <c r="E57" i="3"/>
  <c r="E73" i="3"/>
  <c r="E89" i="3"/>
  <c r="E97" i="3"/>
  <c r="E113" i="3"/>
  <c r="E121" i="3"/>
  <c r="E137" i="3"/>
  <c r="E145" i="3"/>
  <c r="E161" i="3"/>
  <c r="E177" i="3"/>
  <c r="E191" i="3"/>
  <c r="E201" i="3"/>
  <c r="E3" i="3"/>
  <c r="E19" i="3"/>
  <c r="E35" i="3"/>
  <c r="E51" i="3"/>
  <c r="E67" i="3"/>
  <c r="E75" i="3"/>
  <c r="E91" i="3"/>
  <c r="E99" i="3"/>
  <c r="E115" i="3"/>
  <c r="E123" i="3"/>
  <c r="E139" i="3"/>
  <c r="E147" i="3"/>
  <c r="E163" i="3"/>
  <c r="E179" i="3"/>
  <c r="E192" i="3"/>
  <c r="D101" i="1"/>
  <c r="D100" i="1"/>
  <c r="D103" i="1"/>
  <c r="D102" i="1"/>
  <c r="D98" i="1"/>
  <c r="D94" i="1"/>
  <c r="D86" i="1"/>
  <c r="D78" i="1"/>
  <c r="D70" i="1"/>
  <c r="D62" i="1"/>
  <c r="D54" i="1"/>
  <c r="D46" i="1"/>
  <c r="D34" i="1"/>
  <c r="D97" i="1"/>
  <c r="D93" i="1"/>
  <c r="D89" i="1"/>
  <c r="D85" i="1"/>
  <c r="D81" i="1"/>
  <c r="D77" i="1"/>
  <c r="D73" i="1"/>
  <c r="D69" i="1"/>
  <c r="D65" i="1"/>
  <c r="D61" i="1"/>
  <c r="D57" i="1"/>
  <c r="D53" i="1"/>
  <c r="D49" i="1"/>
  <c r="D45" i="1"/>
  <c r="D41" i="1"/>
  <c r="D37" i="1"/>
  <c r="D33" i="1"/>
  <c r="D90" i="1"/>
  <c r="D82" i="1"/>
  <c r="D74" i="1"/>
  <c r="D66" i="1"/>
  <c r="D58" i="1"/>
  <c r="D50" i="1"/>
  <c r="D42" i="1"/>
  <c r="D38" i="1"/>
  <c r="D96" i="1"/>
  <c r="D92" i="1"/>
  <c r="D88" i="1"/>
  <c r="D84" i="1"/>
  <c r="D80" i="1"/>
  <c r="D76" i="1"/>
  <c r="D72" i="1"/>
  <c r="D68" i="1"/>
  <c r="D64" i="1"/>
  <c r="D60" i="1"/>
  <c r="D56" i="1"/>
  <c r="D52" i="1"/>
  <c r="D48" i="1"/>
  <c r="D44" i="1"/>
  <c r="D40" i="1"/>
  <c r="D36" i="1"/>
  <c r="D32" i="1"/>
  <c r="D99" i="1"/>
  <c r="D95" i="1"/>
  <c r="D91" i="1"/>
  <c r="D87" i="1"/>
  <c r="D83" i="1"/>
  <c r="D79" i="1"/>
  <c r="D75" i="1"/>
  <c r="D71" i="1"/>
  <c r="D67" i="1"/>
  <c r="D63" i="1"/>
  <c r="D59" i="1"/>
  <c r="D55" i="1"/>
  <c r="D51" i="1"/>
  <c r="D47" i="1"/>
  <c r="D43" i="1"/>
  <c r="D39" i="1"/>
  <c r="D35" i="1"/>
  <c r="D31" i="1"/>
  <c r="D27" i="1"/>
  <c r="D26" i="1"/>
  <c r="D22" i="1"/>
  <c r="D24" i="1"/>
  <c r="D23" i="1"/>
  <c r="D25" i="1"/>
  <c r="D21" i="1"/>
  <c r="D28" i="1"/>
  <c r="D29" i="1"/>
  <c r="D30" i="1"/>
  <c r="D15" i="1"/>
  <c r="D7" i="1"/>
  <c r="D14" i="1"/>
  <c r="D6" i="1"/>
  <c r="D17" i="1"/>
  <c r="D13" i="1"/>
  <c r="D9" i="1"/>
  <c r="D5" i="1"/>
  <c r="D11" i="1"/>
  <c r="D3" i="1"/>
  <c r="D18" i="1"/>
  <c r="D10" i="1"/>
  <c r="D20" i="1"/>
  <c r="D16" i="1"/>
  <c r="D12" i="1"/>
  <c r="D8" i="1"/>
  <c r="D4" i="1"/>
  <c r="D19" i="1"/>
  <c r="D2" i="1"/>
  <c r="E227" i="1" l="1"/>
</calcChain>
</file>

<file path=xl/connections.xml><?xml version="1.0" encoding="utf-8"?>
<connections xmlns="http://schemas.openxmlformats.org/spreadsheetml/2006/main">
  <connection id="1" keepAlive="1" name="Query - Table2" description="Connection to the 'Table2' query in the workbook." type="5" refreshedVersion="6" background="1" saveData="1">
    <dbPr connection="Provider=Microsoft.Mashup.OleDb.1;Data Source=$Workbook$;Location=Table2;Extended Properties=&quot;&quot;" command="SELECT * FROM [Table2]"/>
  </connection>
</connections>
</file>

<file path=xl/sharedStrings.xml><?xml version="1.0" encoding="utf-8"?>
<sst xmlns="http://schemas.openxmlformats.org/spreadsheetml/2006/main" count="653" uniqueCount="112">
  <si>
    <t>Region  Product Date    CustomerQuantityRevenue COGS    Profit</t>
  </si>
  <si>
    <t>PENDING</t>
  </si>
  <si>
    <t>SEARCHING FOR</t>
  </si>
  <si>
    <t>FOUND?</t>
  </si>
  <si>
    <t>More details</t>
  </si>
  <si>
    <t>500011155   ABC     8/16/200OPQ, INC     300    6207    2541    3666</t>
  </si>
  <si>
    <t>500011156   ABC     8/16/200EFG S.A.     600   12606    5082    7524</t>
  </si>
  <si>
    <t>500011157   XYZ     8/17/200DEF, LLC     300    6240    2952    3288</t>
  </si>
  <si>
    <t>500011158ABC     8/17/200LMN PTY     1000   20770    8470   12300</t>
  </si>
  <si>
    <t>500011159   ABC     8/18/200EFG S.A.     400    8128    3388    4740</t>
  </si>
  <si>
    <t>500011160   XYZ     8/19/200OPQ, INC     100    1882     847    1035</t>
  </si>
  <si>
    <t>500011161XYZ     8/19/200OPQ, INC     100    2231     984    1247</t>
  </si>
  <si>
    <t>500011162ABC     8/19/200WXY, CO      500   10445    4235    6210</t>
  </si>
  <si>
    <t>500011163   XYZ     8/21/200LMN PTY      100    2054     984    1070</t>
  </si>
  <si>
    <t>500011164   ABC     8/21/200OPQ, INC     800   14224    6776    7448</t>
  </si>
  <si>
    <t>500011165   ABC     8/21/200FGH, CO      400    7136    3388    3748</t>
  </si>
  <si>
    <t>500011166   DEF     8/21/200FGH LTD.     700   17150    6888   10262</t>
  </si>
  <si>
    <t>500011167   DEF     8/22/200OPQ, INC     300    6714    2952    3762</t>
  </si>
  <si>
    <t>500011168XYZ     8/22/200TUV GMBH     400   10044    4088    5956</t>
  </si>
  <si>
    <t>500011169   ABC     8/23/200LMN PTY     1000   19250    8470   10780</t>
  </si>
  <si>
    <t>500011170   ABC     8/23/200FGH LTD.     800   15640    6776    8864</t>
  </si>
  <si>
    <t>500011171   DEF     8/24/200FGH LTD.     600   12672    5904    6768</t>
  </si>
  <si>
    <t>500011172   ABC     8/24/200OPQ, INC     300    5532    2541    2991</t>
  </si>
  <si>
    <t>500011173   XYZ     8/24/200DEF, LLC     200    4740    1968    2772</t>
  </si>
  <si>
    <t>500011174   XYZ     8/25/200DEF, LLC     100    2012     847    1165</t>
  </si>
  <si>
    <t>500011175   DEF     8/26/200JKL, CO      800   17160    7872    9288</t>
  </si>
  <si>
    <t>500011176XYZ     8/28/200DEF, LLC     700   13314    5929    7385</t>
  </si>
  <si>
    <t>500011177DEF     8/29/200WXY, CO      200    4280    1968    2312</t>
  </si>
  <si>
    <t>500011178   DEF     8/29/200WXY, CO      900   21708    8856   12852</t>
  </si>
  <si>
    <t>500011179   ABC     8/30/200EFG S.A.    1000   19890    8470   11420</t>
  </si>
  <si>
    <t>500011180ABC     8/31/200LMN PTY      100    1817     847     970</t>
  </si>
  <si>
    <t>500011181   ABC     8/31/200JKL, CO      300    6045    2541    3504</t>
  </si>
  <si>
    <t>500011182ABC     9/1/2004FGH LTD.     300    5157    2541    2616</t>
  </si>
  <si>
    <t>500011183ABC     9/1/2004OPQ, INC     400    7180    3388    3792</t>
  </si>
  <si>
    <t>500011184XYZ     9/3/2004TUV GMBH     100    2487    1022    1465</t>
  </si>
  <si>
    <t>500011185   DEF     9/5/2004LMN PTY      600   12798    5904    6894</t>
  </si>
  <si>
    <t>500011186   DEF     9/6/2004LMN PTY      700   13867    6888    6979</t>
  </si>
  <si>
    <t>500011187   ABC     9/7/2004OPQ, INC     100    2066     847    1219</t>
  </si>
  <si>
    <t>500011188   XYZ     9/8/2004GHI, CO      800   16936    8176    8760</t>
  </si>
  <si>
    <t>500011189   DEF     9/8/2004QRS INC.     200    4742    1968    2774</t>
  </si>
  <si>
    <t>500011190   XYZ     9/9/2004DEF, LLC     600   11430    5082    6348</t>
  </si>
  <si>
    <t>500011191   ABC     9/9/2004FGH LTD.     200    3876    1694    2182</t>
  </si>
  <si>
    <t>500011192   ABC     9/10/200OPQ, INC    1000   20250    8470   11780</t>
  </si>
  <si>
    <t>500011193XYZ     9/11/200WXY, CO      100    2095    1022    1073</t>
  </si>
  <si>
    <t>500011194   DEF     9/11/200EFG S.A.     400    9088    3936    5152</t>
  </si>
  <si>
    <t>500011195ABC     9/11/200OPQ, INC     500   10385    4235    6150</t>
  </si>
  <si>
    <t>500011196   XYZ     9/11/200FGH LTD.    1000   25080   10220   14860</t>
  </si>
  <si>
    <t>500011197   ABC     9/12/200HIJ GMBH     400    7152    3388    3764</t>
  </si>
  <si>
    <t>500011198XYZ     9/12/200DEF, LLC     600   11124    5082    6042</t>
  </si>
  <si>
    <t>500011199   ABC     9/12/200QRS INC.     300    5700    2541    3159</t>
  </si>
  <si>
    <t>500011200XYZ     9/12/200OPQ, INC    1000   23810   10220   13590</t>
  </si>
  <si>
    <t>500011201DEF     9/12/200WXY, CO      800   18504    7872   10632</t>
  </si>
  <si>
    <t>500011202DEF     9/14/200QRS INC.     600   12282    5904    6378</t>
  </si>
  <si>
    <t>500011203XYZ     9/15/200OPQ, INC     500   11525    5110    6415</t>
  </si>
  <si>
    <t>500011204   XYZ     9/16/200WXY, CO     1000   20940   10220   10720</t>
  </si>
  <si>
    <t>500011205   XYZ     9/17/200QRS INC.     100    2257     984    1273</t>
  </si>
  <si>
    <t>500011206   ABC     9/18/200FGH LTD.     700   12145    5929    6216</t>
  </si>
  <si>
    <t>500011207XYZ     9/18/200QRS INC.    1000   22680   10220   12460</t>
  </si>
  <si>
    <t>500011208   DEF     9/18/200QRS INC.     600   13206    5904    7302</t>
  </si>
  <si>
    <t>500011209DEF     9/18/200MNO CORP     900   20610    8856   11754</t>
  </si>
  <si>
    <t>500011210XYZ     9/18/200EFG S.A.     700   17367    7154   10213</t>
  </si>
  <si>
    <t>500011211XYZ     9/18/200OPQ, INC    1000   25140   10220   14920</t>
  </si>
  <si>
    <t>500011212ABC     9/19/200QRS INC.     900   16209    7623    8586</t>
  </si>
  <si>
    <t>500011213   DEF     9/19/200OPQ, INC     400    8708    3936    4772</t>
  </si>
  <si>
    <t>500011214XYZ     9/19/200LMN INC.     200    4614    2044    2570</t>
  </si>
  <si>
    <t>500011215ABC     9/19/200JKL, CO      600   11922    5082    6840</t>
  </si>
  <si>
    <t>500011216   XYZ     9/20/200JKL, CO     1000   20490   10220   10270</t>
  </si>
  <si>
    <t>500011217   XYZ     9/20/200FGH LTD.     900   21456    9198   12258</t>
  </si>
  <si>
    <t>500011218   XYZ     9/21/200OPQ, INC     500   10445    5110    5335</t>
  </si>
  <si>
    <t>500011219   XYZ     9/23/200WXY, CO      400    8620    4088    4532</t>
  </si>
  <si>
    <t>500011220   DEF     9/24/200EFG S.A.     500   11860    4920    6940</t>
  </si>
  <si>
    <t>500011221   DEF     9/24/200WXY, CO      600   14472    5904    8568</t>
  </si>
  <si>
    <t>500011222XYZ     9/25/200OPQ, INC     200    4262    2044    2218</t>
  </si>
  <si>
    <t>500011223   ABC     9/26/200VWX GMBH     700   12474    5929    6545</t>
  </si>
  <si>
    <t>500011224   ABC     9/26/200HIJ GMBH     800   14984    6776    8208</t>
  </si>
  <si>
    <t>500011225ABC     9/26/200QRS INC.     200    4010    1694    2316</t>
  </si>
  <si>
    <t>500011226   XYZ     9/27/200FGH LTD.     100    2004     984    1020</t>
  </si>
  <si>
    <t>500011227   XYZ     9/27/200DEF, LLC     500   10155    4235    5920</t>
  </si>
  <si>
    <t>500011228   XYZ     9/28/200FGH, CO      100    2358     984    1374</t>
  </si>
  <si>
    <t>500011229   XYZ     9/28/200FGH LTD.     200    4754    1968    2786</t>
  </si>
  <si>
    <t>500011230XYZ     9/29/200FGH LTD.     500   12505    5110    7395</t>
  </si>
  <si>
    <t>500011231DEF     9/30/200OPQ, INC     900   19503    8856   10647</t>
  </si>
  <si>
    <t>500011232   XYZ     10/1/200JKL, CO      100    2309    1022    1287</t>
  </si>
  <si>
    <t>500011233   XYZ     10/2/200MNO S.A.     100    2178    1022    1156</t>
  </si>
  <si>
    <t>500011234   ABC     10/3/200FGH LTD.     100    1704     847     857</t>
  </si>
  <si>
    <t>500011235   ABC     10/3/200EFG S.A.     100    1819     847     972</t>
  </si>
  <si>
    <t>500011236   XYZ     10/3/200EFG S.A.     100    1957     847    1110</t>
  </si>
  <si>
    <t>500011237   XYZ     10/3/200EFG S.A.     300    7305    3066    4239</t>
  </si>
  <si>
    <t>500011238XYZ     10/4/200DEF, LLC     200    4124    2044    2080</t>
  </si>
  <si>
    <t>500011239   XYZ     10/4/200OPQ, INC     500   10935    5110    5825</t>
  </si>
  <si>
    <t>500011240   XYZ     10/4/200FGH LTD.     100    2106     984    1122</t>
  </si>
  <si>
    <t>500011241   XYZ     10/4/200FGH, CO      100    1819     847     972</t>
  </si>
  <si>
    <t>500011242   XYZ     10/4/200EFG S.A.     500   11965    5110    6855</t>
  </si>
  <si>
    <t>500011243XYZ     10/4/200LMN PTY     1000   24430   10220   14210</t>
  </si>
  <si>
    <t>500011244   XYZ     10/6/200HIJ GMBH     400    9240    4088    5152</t>
  </si>
  <si>
    <t>500011245   XYZ     10/6/200FGH LTD.     100    2343    1022    1321</t>
  </si>
  <si>
    <t>500011246   DEF     10/6/200QRS INC.     200    4526    1968    2558</t>
  </si>
  <si>
    <t>500011247   ABC     10/6/200MNO CORP     400    8116    3388    4728</t>
  </si>
  <si>
    <t>500011248   XYZ     10/6/200FGH LTD.     200    4948    2044    2904</t>
  </si>
  <si>
    <t>500011249   XYZ     10/6/200VWX GMBH     200    4866    1968    2898</t>
  </si>
  <si>
    <t>500011250XYZ     10/7/200LMN PTY      900   18783    9198    9585</t>
  </si>
  <si>
    <t>500011251XYZ     10/8/200OPQ, INC     200    3856    1694    2162</t>
  </si>
  <si>
    <t>500011252   DEF     10/8/200EFG S.A.     500   11695    4920    6775</t>
  </si>
  <si>
    <t>500011253   XYZ     10/9/200DEF, LLC     100    2272     984    1288</t>
  </si>
  <si>
    <t>500011254ABC     10/9/200OPQ, INC     800   16696    6776    9920</t>
  </si>
  <si>
    <t>500011255   XYZ     10/9/200DEF, LLC     100    2547    1022    1525</t>
  </si>
  <si>
    <t>Total</t>
  </si>
  <si>
    <t>Datushka</t>
  </si>
  <si>
    <t>Last</t>
  </si>
  <si>
    <t>Second to last</t>
  </si>
  <si>
    <t>third to last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</si>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</sst>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43" fontId="16" fillId="0" borderId="0" xfId="1" applyFont="1"/>
    <xf numFmtId="43" fontId="0" fillId="0" borderId="0" xfId="1" applyFont="1"/>
    <xf numFmtId="0" fontId="0" fillId="0" borderId="0" xfId="0" applyNumberFormat="1"/>
    <xf numFmtId="43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6" unboundColumnsRight="4">
    <queryTableFields count="5">
      <queryTableField id="1" name="Datushka" tableColumnId="1"/>
      <queryTableField id="2" dataBound="0" tableColumnId="2"/>
      <queryTableField id="3" dataBound="0" tableColumnId="3"/>
      <queryTableField id="4" dataBound="0" tableColumnId="4"/>
      <queryTableField id="5" dataBound="0" tableColumnId="5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E103" totalsRowShown="0" headerRowDxfId="9">
  <autoFilter ref="A1:E103"/>
  <tableColumns count="5">
    <tableColumn id="1" name="Region  Product Date    CustomerQuantityRevenue COGS    Profit"/>
    <tableColumn id="2" name="PENDING" dataDxfId="8">
      <calculatedColumnFormula>GLW(Table1[[#This Row],[Region  Product Date    CustomerQuantityRevenue COGS    Profit]],0)*1</calculatedColumnFormula>
    </tableColumn>
    <tableColumn id="3" name="SEARCHING FOR" dataDxfId="6">
      <calculatedColumnFormula>GLW(TRIM(Table1[[#This Row],[Region  Product Date    CustomerQuantityRevenue COGS    Profit]]),2)*1</calculatedColumnFormula>
    </tableColumn>
    <tableColumn id="4" name="FOUND?" dataDxfId="7">
      <calculatedColumnFormula>_xlfn.CONCAT(Table1[[#This Row],[Region  Product Date    CustomerQuantityRevenue COGS    Profit]],Table1[[#This Row],[PENDING]],Table1[[#This Row],[SEARCHING FOR]])</calculatedColumnFormula>
    </tableColumn>
    <tableColumn id="5" name="More details" dataDxfId="5" dataCellStyle="Comma">
      <calculatedColumnFormula>SUM($C$2:C2)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A204" totalsRowShown="0">
  <autoFilter ref="A1:A204"/>
  <tableColumns count="1">
    <tableColumn id="1" name="Datushka"/>
  </tableColumns>
  <tableStyleInfo name="TableStyleMedium28" showFirstColumn="0" showLastColumn="0" showRowStripes="1" showColumnStripes="0"/>
</table>
</file>

<file path=xl/tables/table3.xml><?xml version="1.0" encoding="utf-8"?>
<table xmlns="http://schemas.openxmlformats.org/spreadsheetml/2006/main" id="3" name="Table2_2" displayName="Table2_2" ref="A1:E236" tableType="queryTable" totalsRowShown="0">
  <autoFilter ref="A1:E236"/>
  <tableColumns count="5">
    <tableColumn id="1" uniqueName="1" name="Datushka" queryTableFieldId="1" dataDxfId="4"/>
    <tableColumn id="2" uniqueName="2" name="Last" queryTableFieldId="2" dataDxfId="3">
      <calculatedColumnFormula>GLW(TRIM(Table2_2[[#This Row],[Datushka]]),0)*1</calculatedColumnFormula>
    </tableColumn>
    <tableColumn id="3" uniqueName="3" name="Second to last" queryTableFieldId="3" dataDxfId="2">
      <calculatedColumnFormula>GLW(TRIM(Table2_2[[#This Row],[Datushka]]),1)*1</calculatedColumnFormula>
    </tableColumn>
    <tableColumn id="4" uniqueName="4" name="third to last" queryTableFieldId="4" dataDxfId="1">
      <calculatedColumnFormula>GLW(TRIM(Table2_2[[#This Row],[Datushka]]),2)*1</calculatedColumnFormula>
    </tableColumn>
    <tableColumn id="5" uniqueName="5" name="sum" queryTableFieldId="5" dataDxfId="0">
      <calculatedColumnFormula>SUM($D$2:D2)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27"/>
  <sheetViews>
    <sheetView workbookViewId="0">
      <selection activeCell="B2" sqref="B2"/>
    </sheetView>
  </sheetViews>
  <sheetFormatPr defaultRowHeight="15" x14ac:dyDescent="0.25"/>
  <cols>
    <col min="1" max="1" width="59.5703125" bestFit="1" customWidth="1"/>
    <col min="2" max="2" width="11.42578125" customWidth="1"/>
    <col min="3" max="3" width="17.42578125" customWidth="1"/>
    <col min="4" max="4" width="68.85546875" bestFit="1" customWidth="1"/>
    <col min="5" max="5" width="66.5703125" bestFit="1" customWidth="1"/>
    <col min="6" max="7" width="5.140625" bestFit="1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/>
      <c r="G1" s="2"/>
    </row>
    <row r="2" spans="1:7" x14ac:dyDescent="0.25">
      <c r="A2" t="s">
        <v>5</v>
      </c>
      <c r="B2">
        <f>GLW(Table1[[#This Row],[Region  Product Date    CustomerQuantityRevenue COGS    Profit]],0)*1</f>
        <v>3666</v>
      </c>
      <c r="C2">
        <f>GLW(TRIM(Table1[[#This Row],[Region  Product Date    CustomerQuantityRevenue COGS    Profit]]),2)*1</f>
        <v>6207</v>
      </c>
      <c r="D2" t="str">
        <f>_xlfn.CONCAT(Table1[[#This Row],[Region  Product Date    CustomerQuantityRevenue COGS    Profit]],Table1[[#This Row],[PENDING]],Table1[[#This Row],[SEARCHING FOR]])</f>
        <v>500011155   ABC     8/16/200OPQ, INC     300    6207    2541    366636666207</v>
      </c>
      <c r="E2" s="3">
        <f>SUM($C$2:C2)</f>
        <v>6207</v>
      </c>
      <c r="F2" s="3"/>
      <c r="G2" s="3"/>
    </row>
    <row r="3" spans="1:7" x14ac:dyDescent="0.25">
      <c r="A3" t="s">
        <v>6</v>
      </c>
      <c r="B3">
        <f>GLW(Table1[[#This Row],[Region  Product Date    CustomerQuantityRevenue COGS    Profit]],0)*1</f>
        <v>7524</v>
      </c>
      <c r="C3">
        <f>GLW(TRIM(Table1[[#This Row],[Region  Product Date    CustomerQuantityRevenue COGS    Profit]]),2)*1</f>
        <v>12606</v>
      </c>
      <c r="D3" t="str">
        <f>_xlfn.CONCAT(Table1[[#This Row],[Region  Product Date    CustomerQuantityRevenue COGS    Profit]],Table1[[#This Row],[PENDING]],Table1[[#This Row],[SEARCHING FOR]])</f>
        <v>500011156   ABC     8/16/200EFG S.A.     600   12606    5082    7524752412606</v>
      </c>
      <c r="E3" s="3">
        <f>SUM($C$2:C3)</f>
        <v>18813</v>
      </c>
      <c r="F3" s="3"/>
      <c r="G3" s="3"/>
    </row>
    <row r="4" spans="1:7" x14ac:dyDescent="0.25">
      <c r="A4" t="s">
        <v>7</v>
      </c>
      <c r="B4">
        <f>GLW(Table1[[#This Row],[Region  Product Date    CustomerQuantityRevenue COGS    Profit]],0)*1</f>
        <v>3288</v>
      </c>
      <c r="C4">
        <f>GLW(TRIM(Table1[[#This Row],[Region  Product Date    CustomerQuantityRevenue COGS    Profit]]),2)*1</f>
        <v>6240</v>
      </c>
      <c r="D4" t="str">
        <f>_xlfn.CONCAT(Table1[[#This Row],[Region  Product Date    CustomerQuantityRevenue COGS    Profit]],Table1[[#This Row],[PENDING]],Table1[[#This Row],[SEARCHING FOR]])</f>
        <v>500011157   XYZ     8/17/200DEF, LLC     300    6240    2952    328832886240</v>
      </c>
      <c r="E4" s="3">
        <f>SUM($C$2:C4)</f>
        <v>25053</v>
      </c>
      <c r="F4" s="3"/>
      <c r="G4" s="3"/>
    </row>
    <row r="5" spans="1:7" x14ac:dyDescent="0.25">
      <c r="A5" t="s">
        <v>8</v>
      </c>
      <c r="B5">
        <f>GLW(Table1[[#This Row],[Region  Product Date    CustomerQuantityRevenue COGS    Profit]],0)*1</f>
        <v>12300</v>
      </c>
      <c r="C5">
        <f>GLW(TRIM(Table1[[#This Row],[Region  Product Date    CustomerQuantityRevenue COGS    Profit]]),2)*1</f>
        <v>20770</v>
      </c>
      <c r="D5" t="str">
        <f>_xlfn.CONCAT(Table1[[#This Row],[Region  Product Date    CustomerQuantityRevenue COGS    Profit]],Table1[[#This Row],[PENDING]],Table1[[#This Row],[SEARCHING FOR]])</f>
        <v>500011158ABC     8/17/200LMN PTY     1000   20770    8470   123001230020770</v>
      </c>
      <c r="E5" s="3">
        <f>SUM($C$2:C5)</f>
        <v>45823</v>
      </c>
      <c r="F5" s="3"/>
      <c r="G5" s="3"/>
    </row>
    <row r="6" spans="1:7" x14ac:dyDescent="0.25">
      <c r="A6" t="s">
        <v>9</v>
      </c>
      <c r="B6">
        <f>GLW(Table1[[#This Row],[Region  Product Date    CustomerQuantityRevenue COGS    Profit]],0)*1</f>
        <v>4740</v>
      </c>
      <c r="C6">
        <f>GLW(TRIM(Table1[[#This Row],[Region  Product Date    CustomerQuantityRevenue COGS    Profit]]),2)*1</f>
        <v>8128</v>
      </c>
      <c r="D6" t="str">
        <f>_xlfn.CONCAT(Table1[[#This Row],[Region  Product Date    CustomerQuantityRevenue COGS    Profit]],Table1[[#This Row],[PENDING]],Table1[[#This Row],[SEARCHING FOR]])</f>
        <v>500011159   ABC     8/18/200EFG S.A.     400    8128    3388    474047408128</v>
      </c>
      <c r="E6" s="3">
        <f>SUM($C$2:C6)</f>
        <v>53951</v>
      </c>
      <c r="F6" s="3"/>
      <c r="G6" s="3"/>
    </row>
    <row r="7" spans="1:7" x14ac:dyDescent="0.25">
      <c r="A7" t="s">
        <v>10</v>
      </c>
      <c r="B7">
        <f>GLW(Table1[[#This Row],[Region  Product Date    CustomerQuantityRevenue COGS    Profit]],0)*1</f>
        <v>1035</v>
      </c>
      <c r="C7">
        <f>GLW(TRIM(Table1[[#This Row],[Region  Product Date    CustomerQuantityRevenue COGS    Profit]]),2)*1</f>
        <v>1882</v>
      </c>
      <c r="D7" t="str">
        <f>_xlfn.CONCAT(Table1[[#This Row],[Region  Product Date    CustomerQuantityRevenue COGS    Profit]],Table1[[#This Row],[PENDING]],Table1[[#This Row],[SEARCHING FOR]])</f>
        <v>500011160   XYZ     8/19/200OPQ, INC     100    1882     847    103510351882</v>
      </c>
      <c r="E7" s="3">
        <f>SUM($C$2:C7)</f>
        <v>55833</v>
      </c>
      <c r="F7" s="3"/>
      <c r="G7" s="3"/>
    </row>
    <row r="8" spans="1:7" x14ac:dyDescent="0.25">
      <c r="A8" t="s">
        <v>11</v>
      </c>
      <c r="B8">
        <f>GLW(Table1[[#This Row],[Region  Product Date    CustomerQuantityRevenue COGS    Profit]],0)*1</f>
        <v>1247</v>
      </c>
      <c r="C8">
        <f>GLW(TRIM(Table1[[#This Row],[Region  Product Date    CustomerQuantityRevenue COGS    Profit]]),2)*1</f>
        <v>2231</v>
      </c>
      <c r="D8" t="str">
        <f>_xlfn.CONCAT(Table1[[#This Row],[Region  Product Date    CustomerQuantityRevenue COGS    Profit]],Table1[[#This Row],[PENDING]],Table1[[#This Row],[SEARCHING FOR]])</f>
        <v>500011161XYZ     8/19/200OPQ, INC     100    2231     984    124712472231</v>
      </c>
      <c r="E8" s="3">
        <f>SUM($C$2:C8)</f>
        <v>58064</v>
      </c>
      <c r="F8" s="3"/>
      <c r="G8" s="3"/>
    </row>
    <row r="9" spans="1:7" x14ac:dyDescent="0.25">
      <c r="A9" t="s">
        <v>12</v>
      </c>
      <c r="B9">
        <f>GLW(Table1[[#This Row],[Region  Product Date    CustomerQuantityRevenue COGS    Profit]],0)*1</f>
        <v>6210</v>
      </c>
      <c r="C9">
        <f>GLW(TRIM(Table1[[#This Row],[Region  Product Date    CustomerQuantityRevenue COGS    Profit]]),2)*1</f>
        <v>10445</v>
      </c>
      <c r="D9" t="str">
        <f>_xlfn.CONCAT(Table1[[#This Row],[Region  Product Date    CustomerQuantityRevenue COGS    Profit]],Table1[[#This Row],[PENDING]],Table1[[#This Row],[SEARCHING FOR]])</f>
        <v>500011162ABC     8/19/200WXY, CO      500   10445    4235    6210621010445</v>
      </c>
      <c r="E9" s="3">
        <f>SUM($C$2:C9)</f>
        <v>68509</v>
      </c>
      <c r="F9" s="3"/>
      <c r="G9" s="3"/>
    </row>
    <row r="10" spans="1:7" x14ac:dyDescent="0.25">
      <c r="A10" t="s">
        <v>13</v>
      </c>
      <c r="B10">
        <f>GLW(Table1[[#This Row],[Region  Product Date    CustomerQuantityRevenue COGS    Profit]],0)*1</f>
        <v>1070</v>
      </c>
      <c r="C10">
        <f>GLW(TRIM(Table1[[#This Row],[Region  Product Date    CustomerQuantityRevenue COGS    Profit]]),2)*1</f>
        <v>2054</v>
      </c>
      <c r="D10" t="str">
        <f>_xlfn.CONCAT(Table1[[#This Row],[Region  Product Date    CustomerQuantityRevenue COGS    Profit]],Table1[[#This Row],[PENDING]],Table1[[#This Row],[SEARCHING FOR]])</f>
        <v>500011163   XYZ     8/21/200LMN PTY      100    2054     984    107010702054</v>
      </c>
      <c r="E10" s="3">
        <f>SUM($C$2:C10)</f>
        <v>70563</v>
      </c>
      <c r="F10" s="3"/>
      <c r="G10" s="3"/>
    </row>
    <row r="11" spans="1:7" x14ac:dyDescent="0.25">
      <c r="A11" t="s">
        <v>14</v>
      </c>
      <c r="B11">
        <f>GLW(Table1[[#This Row],[Region  Product Date    CustomerQuantityRevenue COGS    Profit]],0)*1</f>
        <v>7448</v>
      </c>
      <c r="C11">
        <f>GLW(TRIM(Table1[[#This Row],[Region  Product Date    CustomerQuantityRevenue COGS    Profit]]),2)*1</f>
        <v>14224</v>
      </c>
      <c r="D11" t="str">
        <f>_xlfn.CONCAT(Table1[[#This Row],[Region  Product Date    CustomerQuantityRevenue COGS    Profit]],Table1[[#This Row],[PENDING]],Table1[[#This Row],[SEARCHING FOR]])</f>
        <v>500011164   ABC     8/21/200OPQ, INC     800   14224    6776    7448744814224</v>
      </c>
      <c r="E11" s="3">
        <f>SUM($C$2:C11)</f>
        <v>84787</v>
      </c>
      <c r="F11" s="3"/>
      <c r="G11" s="3"/>
    </row>
    <row r="12" spans="1:7" x14ac:dyDescent="0.25">
      <c r="A12" t="s">
        <v>15</v>
      </c>
      <c r="B12">
        <f>GLW(Table1[[#This Row],[Region  Product Date    CustomerQuantityRevenue COGS    Profit]],0)*1</f>
        <v>3748</v>
      </c>
      <c r="C12">
        <f>GLW(TRIM(Table1[[#This Row],[Region  Product Date    CustomerQuantityRevenue COGS    Profit]]),2)*1</f>
        <v>7136</v>
      </c>
      <c r="D12" t="str">
        <f>_xlfn.CONCAT(Table1[[#This Row],[Region  Product Date    CustomerQuantityRevenue COGS    Profit]],Table1[[#This Row],[PENDING]],Table1[[#This Row],[SEARCHING FOR]])</f>
        <v>500011165   ABC     8/21/200FGH, CO      400    7136    3388    374837487136</v>
      </c>
      <c r="E12" s="3">
        <f>SUM($C$2:C12)</f>
        <v>91923</v>
      </c>
      <c r="F12" s="3"/>
      <c r="G12" s="3"/>
    </row>
    <row r="13" spans="1:7" x14ac:dyDescent="0.25">
      <c r="A13" t="s">
        <v>16</v>
      </c>
      <c r="B13" s="4">
        <f>GLW(Table1[[#This Row],[Region  Product Date    CustomerQuantityRevenue COGS    Profit]],0)*1</f>
        <v>10262</v>
      </c>
      <c r="C13" s="4">
        <f>GLW(TRIM(Table1[[#This Row],[Region  Product Date    CustomerQuantityRevenue COGS    Profit]]),2)*1</f>
        <v>17150</v>
      </c>
      <c r="D13" t="str">
        <f>_xlfn.CONCAT(Table1[[#This Row],[Region  Product Date    CustomerQuantityRevenue COGS    Profit]],Table1[[#This Row],[PENDING]],Table1[[#This Row],[SEARCHING FOR]])</f>
        <v>500011166   DEF     8/21/200FGH LTD.     700   17150    6888   102621026217150</v>
      </c>
      <c r="E13" s="3">
        <f>SUM($C$2:C13)</f>
        <v>109073</v>
      </c>
      <c r="F13" s="3"/>
      <c r="G13" s="3"/>
    </row>
    <row r="14" spans="1:7" x14ac:dyDescent="0.25">
      <c r="A14" t="s">
        <v>17</v>
      </c>
      <c r="B14" s="4">
        <f>GLW(Table1[[#This Row],[Region  Product Date    CustomerQuantityRevenue COGS    Profit]],0)*1</f>
        <v>3762</v>
      </c>
      <c r="C14" s="4">
        <f>GLW(TRIM(Table1[[#This Row],[Region  Product Date    CustomerQuantityRevenue COGS    Profit]]),2)*1</f>
        <v>6714</v>
      </c>
      <c r="D14" t="str">
        <f>_xlfn.CONCAT(Table1[[#This Row],[Region  Product Date    CustomerQuantityRevenue COGS    Profit]],Table1[[#This Row],[PENDING]],Table1[[#This Row],[SEARCHING FOR]])</f>
        <v>500011167   DEF     8/22/200OPQ, INC     300    6714    2952    376237626714</v>
      </c>
      <c r="E14" s="3">
        <f>SUM($C$2:C14)</f>
        <v>115787</v>
      </c>
      <c r="F14" s="3"/>
      <c r="G14" s="3"/>
    </row>
    <row r="15" spans="1:7" x14ac:dyDescent="0.25">
      <c r="A15" t="s">
        <v>18</v>
      </c>
      <c r="B15" s="4">
        <f>GLW(Table1[[#This Row],[Region  Product Date    CustomerQuantityRevenue COGS    Profit]],0)*1</f>
        <v>5956</v>
      </c>
      <c r="C15" s="4">
        <f>GLW(TRIM(Table1[[#This Row],[Region  Product Date    CustomerQuantityRevenue COGS    Profit]]),2)*1</f>
        <v>10044</v>
      </c>
      <c r="D15" t="str">
        <f>_xlfn.CONCAT(Table1[[#This Row],[Region  Product Date    CustomerQuantityRevenue COGS    Profit]],Table1[[#This Row],[PENDING]],Table1[[#This Row],[SEARCHING FOR]])</f>
        <v>500011168XYZ     8/22/200TUV GMBH     400   10044    4088    5956595610044</v>
      </c>
      <c r="E15" s="3">
        <f>SUM($C$2:C15)</f>
        <v>125831</v>
      </c>
      <c r="F15" s="3"/>
      <c r="G15" s="3"/>
    </row>
    <row r="16" spans="1:7" x14ac:dyDescent="0.25">
      <c r="A16" t="s">
        <v>19</v>
      </c>
      <c r="B16" s="4">
        <f>GLW(Table1[[#This Row],[Region  Product Date    CustomerQuantityRevenue COGS    Profit]],0)*1</f>
        <v>10780</v>
      </c>
      <c r="C16" s="4">
        <f>GLW(TRIM(Table1[[#This Row],[Region  Product Date    CustomerQuantityRevenue COGS    Profit]]),2)*1</f>
        <v>19250</v>
      </c>
      <c r="D16" t="str">
        <f>_xlfn.CONCAT(Table1[[#This Row],[Region  Product Date    CustomerQuantityRevenue COGS    Profit]],Table1[[#This Row],[PENDING]],Table1[[#This Row],[SEARCHING FOR]])</f>
        <v>500011169   ABC     8/23/200LMN PTY     1000   19250    8470   107801078019250</v>
      </c>
      <c r="E16" s="3">
        <f>SUM($C$2:C16)</f>
        <v>145081</v>
      </c>
      <c r="F16" s="3"/>
      <c r="G16" s="3"/>
    </row>
    <row r="17" spans="1:7" x14ac:dyDescent="0.25">
      <c r="A17" t="s">
        <v>20</v>
      </c>
      <c r="B17" s="4">
        <f>GLW(Table1[[#This Row],[Region  Product Date    CustomerQuantityRevenue COGS    Profit]],0)*1</f>
        <v>8864</v>
      </c>
      <c r="C17" s="4">
        <f>GLW(TRIM(Table1[[#This Row],[Region  Product Date    CustomerQuantityRevenue COGS    Profit]]),2)*1</f>
        <v>15640</v>
      </c>
      <c r="D17" t="str">
        <f>_xlfn.CONCAT(Table1[[#This Row],[Region  Product Date    CustomerQuantityRevenue COGS    Profit]],Table1[[#This Row],[PENDING]],Table1[[#This Row],[SEARCHING FOR]])</f>
        <v>500011170   ABC     8/23/200FGH LTD.     800   15640    6776    8864886415640</v>
      </c>
      <c r="E17" s="3">
        <f>SUM($C$2:C17)</f>
        <v>160721</v>
      </c>
      <c r="F17" s="3"/>
      <c r="G17" s="3"/>
    </row>
    <row r="18" spans="1:7" x14ac:dyDescent="0.25">
      <c r="A18" t="s">
        <v>21</v>
      </c>
      <c r="B18" s="4">
        <f>GLW(Table1[[#This Row],[Region  Product Date    CustomerQuantityRevenue COGS    Profit]],0)*1</f>
        <v>6768</v>
      </c>
      <c r="C18" s="4">
        <f>GLW(TRIM(Table1[[#This Row],[Region  Product Date    CustomerQuantityRevenue COGS    Profit]]),2)*1</f>
        <v>12672</v>
      </c>
      <c r="D18" t="str">
        <f>_xlfn.CONCAT(Table1[[#This Row],[Region  Product Date    CustomerQuantityRevenue COGS    Profit]],Table1[[#This Row],[PENDING]],Table1[[#This Row],[SEARCHING FOR]])</f>
        <v>500011171   DEF     8/24/200FGH LTD.     600   12672    5904    6768676812672</v>
      </c>
      <c r="E18" s="3">
        <f>SUM($C$2:C18)</f>
        <v>173393</v>
      </c>
      <c r="F18" s="3"/>
      <c r="G18" s="3"/>
    </row>
    <row r="19" spans="1:7" x14ac:dyDescent="0.25">
      <c r="A19" t="s">
        <v>22</v>
      </c>
      <c r="B19" s="4">
        <f>GLW(Table1[[#This Row],[Region  Product Date    CustomerQuantityRevenue COGS    Profit]],0)*1</f>
        <v>2991</v>
      </c>
      <c r="C19" s="4">
        <f>GLW(TRIM(Table1[[#This Row],[Region  Product Date    CustomerQuantityRevenue COGS    Profit]]),2)*1</f>
        <v>5532</v>
      </c>
      <c r="D19" t="str">
        <f>_xlfn.CONCAT(Table1[[#This Row],[Region  Product Date    CustomerQuantityRevenue COGS    Profit]],Table1[[#This Row],[PENDING]],Table1[[#This Row],[SEARCHING FOR]])</f>
        <v>500011172   ABC     8/24/200OPQ, INC     300    5532    2541    299129915532</v>
      </c>
      <c r="E19" s="3">
        <f>SUM($C$2:C19)</f>
        <v>178925</v>
      </c>
      <c r="F19" s="3"/>
      <c r="G19" s="3"/>
    </row>
    <row r="20" spans="1:7" x14ac:dyDescent="0.25">
      <c r="A20" t="s">
        <v>23</v>
      </c>
      <c r="B20" s="4">
        <f>GLW(Table1[[#This Row],[Region  Product Date    CustomerQuantityRevenue COGS    Profit]],0)*1</f>
        <v>2772</v>
      </c>
      <c r="C20" s="4">
        <f>GLW(TRIM(Table1[[#This Row],[Region  Product Date    CustomerQuantityRevenue COGS    Profit]]),2)*1</f>
        <v>4740</v>
      </c>
      <c r="D20" t="str">
        <f>_xlfn.CONCAT(Table1[[#This Row],[Region  Product Date    CustomerQuantityRevenue COGS    Profit]],Table1[[#This Row],[PENDING]],Table1[[#This Row],[SEARCHING FOR]])</f>
        <v>500011173   XYZ     8/24/200DEF, LLC     200    4740    1968    277227724740</v>
      </c>
      <c r="E20" s="3">
        <f>SUM($C$2:C20)</f>
        <v>183665</v>
      </c>
      <c r="F20" s="3"/>
      <c r="G20" s="3"/>
    </row>
    <row r="21" spans="1:7" x14ac:dyDescent="0.25">
      <c r="A21" t="s">
        <v>24</v>
      </c>
      <c r="B21" s="4">
        <f>GLW(Table1[[#This Row],[Region  Product Date    CustomerQuantityRevenue COGS    Profit]],0)*1</f>
        <v>1165</v>
      </c>
      <c r="C21" s="4">
        <f>GLW(TRIM(Table1[[#This Row],[Region  Product Date    CustomerQuantityRevenue COGS    Profit]]),2)*1</f>
        <v>2012</v>
      </c>
      <c r="D21" t="str">
        <f>_xlfn.CONCAT(Table1[[#This Row],[Region  Product Date    CustomerQuantityRevenue COGS    Profit]],Table1[[#This Row],[PENDING]],Table1[[#This Row],[SEARCHING FOR]])</f>
        <v>500011174   XYZ     8/25/200DEF, LLC     100    2012     847    116511652012</v>
      </c>
      <c r="E21" s="3">
        <f>SUM($C$2:C21)</f>
        <v>185677</v>
      </c>
      <c r="F21" s="3"/>
      <c r="G21" s="3"/>
    </row>
    <row r="22" spans="1:7" x14ac:dyDescent="0.25">
      <c r="A22" t="s">
        <v>25</v>
      </c>
      <c r="B22" s="4">
        <f>GLW(Table1[[#This Row],[Region  Product Date    CustomerQuantityRevenue COGS    Profit]],0)*1</f>
        <v>9288</v>
      </c>
      <c r="C22" s="4">
        <f>GLW(TRIM(Table1[[#This Row],[Region  Product Date    CustomerQuantityRevenue COGS    Profit]]),2)*1</f>
        <v>17160</v>
      </c>
      <c r="D22" t="str">
        <f>_xlfn.CONCAT(Table1[[#This Row],[Region  Product Date    CustomerQuantityRevenue COGS    Profit]],Table1[[#This Row],[PENDING]],Table1[[#This Row],[SEARCHING FOR]])</f>
        <v>500011175   DEF     8/26/200JKL, CO      800   17160    7872    9288928817160</v>
      </c>
      <c r="E22" s="3">
        <f>SUM($C$2:C22)</f>
        <v>202837</v>
      </c>
      <c r="F22" s="3"/>
      <c r="G22" s="3"/>
    </row>
    <row r="23" spans="1:7" x14ac:dyDescent="0.25">
      <c r="A23" t="s">
        <v>26</v>
      </c>
      <c r="B23" s="4">
        <f>GLW(Table1[[#This Row],[Region  Product Date    CustomerQuantityRevenue COGS    Profit]],0)*1</f>
        <v>7385</v>
      </c>
      <c r="C23" s="4">
        <f>GLW(TRIM(Table1[[#This Row],[Region  Product Date    CustomerQuantityRevenue COGS    Profit]]),2)*1</f>
        <v>13314</v>
      </c>
      <c r="D23" t="str">
        <f>_xlfn.CONCAT(Table1[[#This Row],[Region  Product Date    CustomerQuantityRevenue COGS    Profit]],Table1[[#This Row],[PENDING]],Table1[[#This Row],[SEARCHING FOR]])</f>
        <v>500011176XYZ     8/28/200DEF, LLC     700   13314    5929    7385738513314</v>
      </c>
      <c r="E23" s="3">
        <f>SUM($C$2:C23)</f>
        <v>216151</v>
      </c>
      <c r="F23" s="3"/>
      <c r="G23" s="3"/>
    </row>
    <row r="24" spans="1:7" x14ac:dyDescent="0.25">
      <c r="A24" t="s">
        <v>27</v>
      </c>
      <c r="B24" s="4">
        <f>GLW(Table1[[#This Row],[Region  Product Date    CustomerQuantityRevenue COGS    Profit]],0)*1</f>
        <v>2312</v>
      </c>
      <c r="C24" s="4">
        <f>GLW(TRIM(Table1[[#This Row],[Region  Product Date    CustomerQuantityRevenue COGS    Profit]]),2)*1</f>
        <v>4280</v>
      </c>
      <c r="D24" t="str">
        <f>_xlfn.CONCAT(Table1[[#This Row],[Region  Product Date    CustomerQuantityRevenue COGS    Profit]],Table1[[#This Row],[PENDING]],Table1[[#This Row],[SEARCHING FOR]])</f>
        <v>500011177DEF     8/29/200WXY, CO      200    4280    1968    231223124280</v>
      </c>
      <c r="E24" s="3">
        <f>SUM($C$2:C24)</f>
        <v>220431</v>
      </c>
      <c r="F24" s="3"/>
      <c r="G24" s="3"/>
    </row>
    <row r="25" spans="1:7" x14ac:dyDescent="0.25">
      <c r="A25" t="s">
        <v>28</v>
      </c>
      <c r="B25" s="4">
        <f>GLW(Table1[[#This Row],[Region  Product Date    CustomerQuantityRevenue COGS    Profit]],0)*1</f>
        <v>12852</v>
      </c>
      <c r="C25" s="4">
        <f>GLW(TRIM(Table1[[#This Row],[Region  Product Date    CustomerQuantityRevenue COGS    Profit]]),2)*1</f>
        <v>21708</v>
      </c>
      <c r="D25" t="str">
        <f>_xlfn.CONCAT(Table1[[#This Row],[Region  Product Date    CustomerQuantityRevenue COGS    Profit]],Table1[[#This Row],[PENDING]],Table1[[#This Row],[SEARCHING FOR]])</f>
        <v>500011178   DEF     8/29/200WXY, CO      900   21708    8856   128521285221708</v>
      </c>
      <c r="E25" s="3">
        <f>SUM($C$2:C25)</f>
        <v>242139</v>
      </c>
      <c r="F25" s="3"/>
      <c r="G25" s="3"/>
    </row>
    <row r="26" spans="1:7" x14ac:dyDescent="0.25">
      <c r="A26" t="s">
        <v>29</v>
      </c>
      <c r="B26" s="4">
        <f>GLW(Table1[[#This Row],[Region  Product Date    CustomerQuantityRevenue COGS    Profit]],0)*1</f>
        <v>11420</v>
      </c>
      <c r="C26" s="4">
        <f>GLW(TRIM(Table1[[#This Row],[Region  Product Date    CustomerQuantityRevenue COGS    Profit]]),2)*1</f>
        <v>19890</v>
      </c>
      <c r="D26" t="str">
        <f>_xlfn.CONCAT(Table1[[#This Row],[Region  Product Date    CustomerQuantityRevenue COGS    Profit]],Table1[[#This Row],[PENDING]],Table1[[#This Row],[SEARCHING FOR]])</f>
        <v>500011179   ABC     8/30/200EFG S.A.    1000   19890    8470   114201142019890</v>
      </c>
      <c r="E26" s="3">
        <f>SUM($C$2:C26)</f>
        <v>262029</v>
      </c>
      <c r="F26" s="3"/>
      <c r="G26" s="3"/>
    </row>
    <row r="27" spans="1:7" x14ac:dyDescent="0.25">
      <c r="A27" t="s">
        <v>30</v>
      </c>
      <c r="B27" s="4">
        <f>GLW(Table1[[#This Row],[Region  Product Date    CustomerQuantityRevenue COGS    Profit]],0)*1</f>
        <v>970</v>
      </c>
      <c r="C27" s="4">
        <f>GLW(TRIM(Table1[[#This Row],[Region  Product Date    CustomerQuantityRevenue COGS    Profit]]),2)*1</f>
        <v>1817</v>
      </c>
      <c r="D27" t="str">
        <f>_xlfn.CONCAT(Table1[[#This Row],[Region  Product Date    CustomerQuantityRevenue COGS    Profit]],Table1[[#This Row],[PENDING]],Table1[[#This Row],[SEARCHING FOR]])</f>
        <v>500011180ABC     8/31/200LMN PTY      100    1817     847     9709701817</v>
      </c>
      <c r="E27" s="3">
        <f>SUM($C$2:C27)</f>
        <v>263846</v>
      </c>
      <c r="F27" s="3"/>
      <c r="G27" s="3"/>
    </row>
    <row r="28" spans="1:7" x14ac:dyDescent="0.25">
      <c r="A28" t="s">
        <v>31</v>
      </c>
      <c r="B28" s="4">
        <f>GLW(Table1[[#This Row],[Region  Product Date    CustomerQuantityRevenue COGS    Profit]],0)*1</f>
        <v>3504</v>
      </c>
      <c r="C28" s="4">
        <f>GLW(TRIM(Table1[[#This Row],[Region  Product Date    CustomerQuantityRevenue COGS    Profit]]),2)*1</f>
        <v>6045</v>
      </c>
      <c r="D28" t="str">
        <f>_xlfn.CONCAT(Table1[[#This Row],[Region  Product Date    CustomerQuantityRevenue COGS    Profit]],Table1[[#This Row],[PENDING]],Table1[[#This Row],[SEARCHING FOR]])</f>
        <v>500011181   ABC     8/31/200JKL, CO      300    6045    2541    350435046045</v>
      </c>
      <c r="E28" s="3">
        <f>SUM($C$2:C28)</f>
        <v>269891</v>
      </c>
      <c r="F28" s="3"/>
      <c r="G28" s="3"/>
    </row>
    <row r="29" spans="1:7" x14ac:dyDescent="0.25">
      <c r="A29" t="s">
        <v>32</v>
      </c>
      <c r="B29" s="4">
        <f>GLW(Table1[[#This Row],[Region  Product Date    CustomerQuantityRevenue COGS    Profit]],0)*1</f>
        <v>2616</v>
      </c>
      <c r="C29" s="4">
        <f>GLW(TRIM(Table1[[#This Row],[Region  Product Date    CustomerQuantityRevenue COGS    Profit]]),2)*1</f>
        <v>5157</v>
      </c>
      <c r="D29" t="str">
        <f>_xlfn.CONCAT(Table1[[#This Row],[Region  Product Date    CustomerQuantityRevenue COGS    Profit]],Table1[[#This Row],[PENDING]],Table1[[#This Row],[SEARCHING FOR]])</f>
        <v>500011182ABC     9/1/2004FGH LTD.     300    5157    2541    261626165157</v>
      </c>
      <c r="E29" s="3">
        <f>SUM($C$2:C29)</f>
        <v>275048</v>
      </c>
      <c r="F29" s="3"/>
      <c r="G29" s="3"/>
    </row>
    <row r="30" spans="1:7" x14ac:dyDescent="0.25">
      <c r="A30" t="s">
        <v>33</v>
      </c>
      <c r="B30" s="4">
        <f>GLW(Table1[[#This Row],[Region  Product Date    CustomerQuantityRevenue COGS    Profit]],0)*1</f>
        <v>3792</v>
      </c>
      <c r="C30" s="4">
        <f>GLW(TRIM(Table1[[#This Row],[Region  Product Date    CustomerQuantityRevenue COGS    Profit]]),2)*1</f>
        <v>7180</v>
      </c>
      <c r="D30" t="str">
        <f>_xlfn.CONCAT(Table1[[#This Row],[Region  Product Date    CustomerQuantityRevenue COGS    Profit]],Table1[[#This Row],[PENDING]],Table1[[#This Row],[SEARCHING FOR]])</f>
        <v>500011183ABC     9/1/2004OPQ, INC     400    7180    3388    379237927180</v>
      </c>
      <c r="E30" s="3">
        <f>SUM($C$2:C30)</f>
        <v>282228</v>
      </c>
      <c r="F30" s="3"/>
      <c r="G30" s="3"/>
    </row>
    <row r="31" spans="1:7" x14ac:dyDescent="0.25">
      <c r="A31" t="s">
        <v>34</v>
      </c>
      <c r="B31" s="4">
        <f>GLW(Table1[[#This Row],[Region  Product Date    CustomerQuantityRevenue COGS    Profit]],0)*1</f>
        <v>1465</v>
      </c>
      <c r="C31" s="4">
        <f>GLW(TRIM(Table1[[#This Row],[Region  Product Date    CustomerQuantityRevenue COGS    Profit]]),2)*1</f>
        <v>2487</v>
      </c>
      <c r="D31" s="4" t="str">
        <f>_xlfn.CONCAT(Table1[[#This Row],[Region  Product Date    CustomerQuantityRevenue COGS    Profit]],Table1[[#This Row],[PENDING]],Table1[[#This Row],[SEARCHING FOR]])</f>
        <v>500011184XYZ     9/3/2004TUV GMBH     100    2487    1022    146514652487</v>
      </c>
      <c r="E31" s="5">
        <f>SUM($C$2:C31)</f>
        <v>284715</v>
      </c>
      <c r="F31" s="3"/>
      <c r="G31" s="3"/>
    </row>
    <row r="32" spans="1:7" x14ac:dyDescent="0.25">
      <c r="A32" t="s">
        <v>35</v>
      </c>
      <c r="B32" s="4">
        <f>GLW(Table1[[#This Row],[Region  Product Date    CustomerQuantityRevenue COGS    Profit]],0)*1</f>
        <v>6894</v>
      </c>
      <c r="C32" s="4">
        <f>GLW(TRIM(Table1[[#This Row],[Region  Product Date    CustomerQuantityRevenue COGS    Profit]]),2)*1</f>
        <v>12798</v>
      </c>
      <c r="D32" s="4" t="str">
        <f>_xlfn.CONCAT(Table1[[#This Row],[Region  Product Date    CustomerQuantityRevenue COGS    Profit]],Table1[[#This Row],[PENDING]],Table1[[#This Row],[SEARCHING FOR]])</f>
        <v>500011185   DEF     9/5/2004LMN PTY      600   12798    5904    6894689412798</v>
      </c>
      <c r="E32" s="5">
        <f>SUM($C$2:C32)</f>
        <v>297513</v>
      </c>
      <c r="F32" s="3"/>
      <c r="G32" s="3"/>
    </row>
    <row r="33" spans="1:7" x14ac:dyDescent="0.25">
      <c r="A33" t="s">
        <v>36</v>
      </c>
      <c r="B33" s="4">
        <f>GLW(Table1[[#This Row],[Region  Product Date    CustomerQuantityRevenue COGS    Profit]],0)*1</f>
        <v>6979</v>
      </c>
      <c r="C33" s="4">
        <f>GLW(TRIM(Table1[[#This Row],[Region  Product Date    CustomerQuantityRevenue COGS    Profit]]),2)*1</f>
        <v>13867</v>
      </c>
      <c r="D33" s="4" t="str">
        <f>_xlfn.CONCAT(Table1[[#This Row],[Region  Product Date    CustomerQuantityRevenue COGS    Profit]],Table1[[#This Row],[PENDING]],Table1[[#This Row],[SEARCHING FOR]])</f>
        <v>500011186   DEF     9/6/2004LMN PTY      700   13867    6888    6979697913867</v>
      </c>
      <c r="E33" s="5">
        <f>SUM($C$2:C33)</f>
        <v>311380</v>
      </c>
      <c r="F33" s="3"/>
      <c r="G33" s="3"/>
    </row>
    <row r="34" spans="1:7" x14ac:dyDescent="0.25">
      <c r="A34" t="s">
        <v>37</v>
      </c>
      <c r="B34" s="4">
        <f>GLW(Table1[[#This Row],[Region  Product Date    CustomerQuantityRevenue COGS    Profit]],0)*1</f>
        <v>1219</v>
      </c>
      <c r="C34" s="4">
        <f>GLW(TRIM(Table1[[#This Row],[Region  Product Date    CustomerQuantityRevenue COGS    Profit]]),2)*1</f>
        <v>2066</v>
      </c>
      <c r="D34" s="4" t="str">
        <f>_xlfn.CONCAT(Table1[[#This Row],[Region  Product Date    CustomerQuantityRevenue COGS    Profit]],Table1[[#This Row],[PENDING]],Table1[[#This Row],[SEARCHING FOR]])</f>
        <v>500011187   ABC     9/7/2004OPQ, INC     100    2066     847    121912192066</v>
      </c>
      <c r="E34" s="5">
        <f>SUM($C$2:C34)</f>
        <v>313446</v>
      </c>
      <c r="F34" s="3"/>
      <c r="G34" s="3"/>
    </row>
    <row r="35" spans="1:7" x14ac:dyDescent="0.25">
      <c r="A35" t="s">
        <v>38</v>
      </c>
      <c r="B35" s="4">
        <f>GLW(Table1[[#This Row],[Region  Product Date    CustomerQuantityRevenue COGS    Profit]],0)*1</f>
        <v>8760</v>
      </c>
      <c r="C35" s="4">
        <f>GLW(TRIM(Table1[[#This Row],[Region  Product Date    CustomerQuantityRevenue COGS    Profit]]),2)*1</f>
        <v>16936</v>
      </c>
      <c r="D35" s="4" t="str">
        <f>_xlfn.CONCAT(Table1[[#This Row],[Region  Product Date    CustomerQuantityRevenue COGS    Profit]],Table1[[#This Row],[PENDING]],Table1[[#This Row],[SEARCHING FOR]])</f>
        <v>500011188   XYZ     9/8/2004GHI, CO      800   16936    8176    8760876016936</v>
      </c>
      <c r="E35" s="5">
        <f>SUM($C$2:C35)</f>
        <v>330382</v>
      </c>
      <c r="F35" s="3"/>
      <c r="G35" s="3"/>
    </row>
    <row r="36" spans="1:7" x14ac:dyDescent="0.25">
      <c r="A36" t="s">
        <v>39</v>
      </c>
      <c r="B36" s="4">
        <f>GLW(Table1[[#This Row],[Region  Product Date    CustomerQuantityRevenue COGS    Profit]],0)*1</f>
        <v>2774</v>
      </c>
      <c r="C36" s="4">
        <f>GLW(TRIM(Table1[[#This Row],[Region  Product Date    CustomerQuantityRevenue COGS    Profit]]),2)*1</f>
        <v>4742</v>
      </c>
      <c r="D36" s="4" t="str">
        <f>_xlfn.CONCAT(Table1[[#This Row],[Region  Product Date    CustomerQuantityRevenue COGS    Profit]],Table1[[#This Row],[PENDING]],Table1[[#This Row],[SEARCHING FOR]])</f>
        <v>500011189   DEF     9/8/2004QRS INC.     200    4742    1968    277427744742</v>
      </c>
      <c r="E36" s="5">
        <f>SUM($C$2:C36)</f>
        <v>335124</v>
      </c>
      <c r="F36" s="3"/>
      <c r="G36" s="3"/>
    </row>
    <row r="37" spans="1:7" x14ac:dyDescent="0.25">
      <c r="A37" t="s">
        <v>40</v>
      </c>
      <c r="B37" s="4">
        <f>GLW(Table1[[#This Row],[Region  Product Date    CustomerQuantityRevenue COGS    Profit]],0)*1</f>
        <v>6348</v>
      </c>
      <c r="C37" s="4">
        <f>GLW(TRIM(Table1[[#This Row],[Region  Product Date    CustomerQuantityRevenue COGS    Profit]]),2)*1</f>
        <v>11430</v>
      </c>
      <c r="D37" s="4" t="str">
        <f>_xlfn.CONCAT(Table1[[#This Row],[Region  Product Date    CustomerQuantityRevenue COGS    Profit]],Table1[[#This Row],[PENDING]],Table1[[#This Row],[SEARCHING FOR]])</f>
        <v>500011190   XYZ     9/9/2004DEF, LLC     600   11430    5082    6348634811430</v>
      </c>
      <c r="E37" s="5">
        <f>SUM($C$2:C37)</f>
        <v>346554</v>
      </c>
      <c r="F37" s="3"/>
      <c r="G37" s="3"/>
    </row>
    <row r="38" spans="1:7" x14ac:dyDescent="0.25">
      <c r="A38" t="s">
        <v>41</v>
      </c>
      <c r="B38" s="4">
        <f>GLW(Table1[[#This Row],[Region  Product Date    CustomerQuantityRevenue COGS    Profit]],0)*1</f>
        <v>2182</v>
      </c>
      <c r="C38" s="4">
        <f>GLW(TRIM(Table1[[#This Row],[Region  Product Date    CustomerQuantityRevenue COGS    Profit]]),2)*1</f>
        <v>3876</v>
      </c>
      <c r="D38" s="4" t="str">
        <f>_xlfn.CONCAT(Table1[[#This Row],[Region  Product Date    CustomerQuantityRevenue COGS    Profit]],Table1[[#This Row],[PENDING]],Table1[[#This Row],[SEARCHING FOR]])</f>
        <v>500011191   ABC     9/9/2004FGH LTD.     200    3876    1694    218221823876</v>
      </c>
      <c r="E38" s="5">
        <f>SUM($C$2:C38)</f>
        <v>350430</v>
      </c>
      <c r="F38" s="3"/>
      <c r="G38" s="3"/>
    </row>
    <row r="39" spans="1:7" x14ac:dyDescent="0.25">
      <c r="A39" t="s">
        <v>42</v>
      </c>
      <c r="B39" s="4">
        <f>GLW(Table1[[#This Row],[Region  Product Date    CustomerQuantityRevenue COGS    Profit]],0)*1</f>
        <v>11780</v>
      </c>
      <c r="C39" s="4">
        <f>GLW(TRIM(Table1[[#This Row],[Region  Product Date    CustomerQuantityRevenue COGS    Profit]]),2)*1</f>
        <v>20250</v>
      </c>
      <c r="D39" s="4" t="str">
        <f>_xlfn.CONCAT(Table1[[#This Row],[Region  Product Date    CustomerQuantityRevenue COGS    Profit]],Table1[[#This Row],[PENDING]],Table1[[#This Row],[SEARCHING FOR]])</f>
        <v>500011192   ABC     9/10/200OPQ, INC    1000   20250    8470   117801178020250</v>
      </c>
      <c r="E39" s="5">
        <f>SUM($C$2:C39)</f>
        <v>370680</v>
      </c>
      <c r="F39" s="3"/>
      <c r="G39" s="3"/>
    </row>
    <row r="40" spans="1:7" x14ac:dyDescent="0.25">
      <c r="A40" t="s">
        <v>43</v>
      </c>
      <c r="B40" s="4">
        <f>GLW(Table1[[#This Row],[Region  Product Date    CustomerQuantityRevenue COGS    Profit]],0)*1</f>
        <v>1073</v>
      </c>
      <c r="C40" s="4">
        <f>GLW(TRIM(Table1[[#This Row],[Region  Product Date    CustomerQuantityRevenue COGS    Profit]]),2)*1</f>
        <v>2095</v>
      </c>
      <c r="D40" s="4" t="str">
        <f>_xlfn.CONCAT(Table1[[#This Row],[Region  Product Date    CustomerQuantityRevenue COGS    Profit]],Table1[[#This Row],[PENDING]],Table1[[#This Row],[SEARCHING FOR]])</f>
        <v>500011193XYZ     9/11/200WXY, CO      100    2095    1022    107310732095</v>
      </c>
      <c r="E40" s="5">
        <f>SUM($C$2:C40)</f>
        <v>372775</v>
      </c>
      <c r="F40" s="3"/>
      <c r="G40" s="3"/>
    </row>
    <row r="41" spans="1:7" x14ac:dyDescent="0.25">
      <c r="A41" t="s">
        <v>44</v>
      </c>
      <c r="B41" s="4">
        <f>GLW(Table1[[#This Row],[Region  Product Date    CustomerQuantityRevenue COGS    Profit]],0)*1</f>
        <v>5152</v>
      </c>
      <c r="C41" s="4">
        <f>GLW(TRIM(Table1[[#This Row],[Region  Product Date    CustomerQuantityRevenue COGS    Profit]]),2)*1</f>
        <v>9088</v>
      </c>
      <c r="D41" s="4" t="str">
        <f>_xlfn.CONCAT(Table1[[#This Row],[Region  Product Date    CustomerQuantityRevenue COGS    Profit]],Table1[[#This Row],[PENDING]],Table1[[#This Row],[SEARCHING FOR]])</f>
        <v>500011194   DEF     9/11/200EFG S.A.     400    9088    3936    515251529088</v>
      </c>
      <c r="E41" s="5">
        <f>SUM($C$2:C41)</f>
        <v>381863</v>
      </c>
      <c r="F41" s="3"/>
      <c r="G41" s="3"/>
    </row>
    <row r="42" spans="1:7" x14ac:dyDescent="0.25">
      <c r="A42" t="s">
        <v>45</v>
      </c>
      <c r="B42" s="4">
        <f>GLW(Table1[[#This Row],[Region  Product Date    CustomerQuantityRevenue COGS    Profit]],0)*1</f>
        <v>6150</v>
      </c>
      <c r="C42" s="4">
        <f>GLW(TRIM(Table1[[#This Row],[Region  Product Date    CustomerQuantityRevenue COGS    Profit]]),2)*1</f>
        <v>10385</v>
      </c>
      <c r="D42" s="4" t="str">
        <f>_xlfn.CONCAT(Table1[[#This Row],[Region  Product Date    CustomerQuantityRevenue COGS    Profit]],Table1[[#This Row],[PENDING]],Table1[[#This Row],[SEARCHING FOR]])</f>
        <v>500011195ABC     9/11/200OPQ, INC     500   10385    4235    6150615010385</v>
      </c>
      <c r="E42" s="5">
        <f>SUM($C$2:C42)</f>
        <v>392248</v>
      </c>
      <c r="F42" s="3"/>
      <c r="G42" s="3"/>
    </row>
    <row r="43" spans="1:7" x14ac:dyDescent="0.25">
      <c r="A43" t="s">
        <v>46</v>
      </c>
      <c r="B43" s="4">
        <f>GLW(Table1[[#This Row],[Region  Product Date    CustomerQuantityRevenue COGS    Profit]],0)*1</f>
        <v>14860</v>
      </c>
      <c r="C43" s="4">
        <f>GLW(TRIM(Table1[[#This Row],[Region  Product Date    CustomerQuantityRevenue COGS    Profit]]),2)*1</f>
        <v>25080</v>
      </c>
      <c r="D43" s="4" t="str">
        <f>_xlfn.CONCAT(Table1[[#This Row],[Region  Product Date    CustomerQuantityRevenue COGS    Profit]],Table1[[#This Row],[PENDING]],Table1[[#This Row],[SEARCHING FOR]])</f>
        <v>500011196   XYZ     9/11/200FGH LTD.    1000   25080   10220   148601486025080</v>
      </c>
      <c r="E43" s="5">
        <f>SUM($C$2:C43)</f>
        <v>417328</v>
      </c>
      <c r="F43" s="3"/>
      <c r="G43" s="3"/>
    </row>
    <row r="44" spans="1:7" x14ac:dyDescent="0.25">
      <c r="A44" t="s">
        <v>47</v>
      </c>
      <c r="B44" s="4">
        <f>GLW(Table1[[#This Row],[Region  Product Date    CustomerQuantityRevenue COGS    Profit]],0)*1</f>
        <v>3764</v>
      </c>
      <c r="C44" s="4">
        <f>GLW(TRIM(Table1[[#This Row],[Region  Product Date    CustomerQuantityRevenue COGS    Profit]]),2)*1</f>
        <v>7152</v>
      </c>
      <c r="D44" s="4" t="str">
        <f>_xlfn.CONCAT(Table1[[#This Row],[Region  Product Date    CustomerQuantityRevenue COGS    Profit]],Table1[[#This Row],[PENDING]],Table1[[#This Row],[SEARCHING FOR]])</f>
        <v>500011197   ABC     9/12/200HIJ GMBH     400    7152    3388    376437647152</v>
      </c>
      <c r="E44" s="5">
        <f>SUM($C$2:C44)</f>
        <v>424480</v>
      </c>
      <c r="F44" s="3"/>
      <c r="G44" s="3"/>
    </row>
    <row r="45" spans="1:7" x14ac:dyDescent="0.25">
      <c r="A45" t="s">
        <v>48</v>
      </c>
      <c r="B45" s="4">
        <f>GLW(Table1[[#This Row],[Region  Product Date    CustomerQuantityRevenue COGS    Profit]],0)*1</f>
        <v>6042</v>
      </c>
      <c r="C45" s="4">
        <f>GLW(TRIM(Table1[[#This Row],[Region  Product Date    CustomerQuantityRevenue COGS    Profit]]),2)*1</f>
        <v>11124</v>
      </c>
      <c r="D45" s="4" t="str">
        <f>_xlfn.CONCAT(Table1[[#This Row],[Region  Product Date    CustomerQuantityRevenue COGS    Profit]],Table1[[#This Row],[PENDING]],Table1[[#This Row],[SEARCHING FOR]])</f>
        <v>500011198XYZ     9/12/200DEF, LLC     600   11124    5082    6042604211124</v>
      </c>
      <c r="E45" s="5">
        <f>SUM($C$2:C45)</f>
        <v>435604</v>
      </c>
      <c r="F45" s="3"/>
      <c r="G45" s="3"/>
    </row>
    <row r="46" spans="1:7" x14ac:dyDescent="0.25">
      <c r="A46" t="s">
        <v>49</v>
      </c>
      <c r="B46" s="4">
        <f>GLW(Table1[[#This Row],[Region  Product Date    CustomerQuantityRevenue COGS    Profit]],0)*1</f>
        <v>3159</v>
      </c>
      <c r="C46" s="4">
        <f>GLW(TRIM(Table1[[#This Row],[Region  Product Date    CustomerQuantityRevenue COGS    Profit]]),2)*1</f>
        <v>5700</v>
      </c>
      <c r="D46" s="4" t="str">
        <f>_xlfn.CONCAT(Table1[[#This Row],[Region  Product Date    CustomerQuantityRevenue COGS    Profit]],Table1[[#This Row],[PENDING]],Table1[[#This Row],[SEARCHING FOR]])</f>
        <v>500011199   ABC     9/12/200QRS INC.     300    5700    2541    315931595700</v>
      </c>
      <c r="E46" s="5">
        <f>SUM($C$2:C46)</f>
        <v>441304</v>
      </c>
      <c r="F46" s="3"/>
      <c r="G46" s="3"/>
    </row>
    <row r="47" spans="1:7" x14ac:dyDescent="0.25">
      <c r="A47" t="s">
        <v>50</v>
      </c>
      <c r="B47" s="4">
        <f>GLW(Table1[[#This Row],[Region  Product Date    CustomerQuantityRevenue COGS    Profit]],0)*1</f>
        <v>13590</v>
      </c>
      <c r="C47" s="4">
        <f>GLW(TRIM(Table1[[#This Row],[Region  Product Date    CustomerQuantityRevenue COGS    Profit]]),2)*1</f>
        <v>23810</v>
      </c>
      <c r="D47" s="4" t="str">
        <f>_xlfn.CONCAT(Table1[[#This Row],[Region  Product Date    CustomerQuantityRevenue COGS    Profit]],Table1[[#This Row],[PENDING]],Table1[[#This Row],[SEARCHING FOR]])</f>
        <v>500011200XYZ     9/12/200OPQ, INC    1000   23810   10220   135901359023810</v>
      </c>
      <c r="E47" s="5">
        <f>SUM($C$2:C47)</f>
        <v>465114</v>
      </c>
      <c r="F47" s="3"/>
      <c r="G47" s="3"/>
    </row>
    <row r="48" spans="1:7" x14ac:dyDescent="0.25">
      <c r="A48" t="s">
        <v>51</v>
      </c>
      <c r="B48" s="4">
        <f>GLW(Table1[[#This Row],[Region  Product Date    CustomerQuantityRevenue COGS    Profit]],0)*1</f>
        <v>10632</v>
      </c>
      <c r="C48" s="4">
        <f>GLW(TRIM(Table1[[#This Row],[Region  Product Date    CustomerQuantityRevenue COGS    Profit]]),2)*1</f>
        <v>18504</v>
      </c>
      <c r="D48" s="4" t="str">
        <f>_xlfn.CONCAT(Table1[[#This Row],[Region  Product Date    CustomerQuantityRevenue COGS    Profit]],Table1[[#This Row],[PENDING]],Table1[[#This Row],[SEARCHING FOR]])</f>
        <v>500011201DEF     9/12/200WXY, CO      800   18504    7872   106321063218504</v>
      </c>
      <c r="E48" s="5">
        <f>SUM($C$2:C48)</f>
        <v>483618</v>
      </c>
      <c r="F48" s="3"/>
      <c r="G48" s="3"/>
    </row>
    <row r="49" spans="1:7" x14ac:dyDescent="0.25">
      <c r="A49" t="s">
        <v>52</v>
      </c>
      <c r="B49" s="4">
        <f>GLW(Table1[[#This Row],[Region  Product Date    CustomerQuantityRevenue COGS    Profit]],0)*1</f>
        <v>6378</v>
      </c>
      <c r="C49" s="4">
        <f>GLW(TRIM(Table1[[#This Row],[Region  Product Date    CustomerQuantityRevenue COGS    Profit]]),2)*1</f>
        <v>12282</v>
      </c>
      <c r="D49" s="4" t="str">
        <f>_xlfn.CONCAT(Table1[[#This Row],[Region  Product Date    CustomerQuantityRevenue COGS    Profit]],Table1[[#This Row],[PENDING]],Table1[[#This Row],[SEARCHING FOR]])</f>
        <v>500011202DEF     9/14/200QRS INC.     600   12282    5904    6378637812282</v>
      </c>
      <c r="E49" s="5">
        <f>SUM($C$2:C49)</f>
        <v>495900</v>
      </c>
      <c r="F49" s="3"/>
      <c r="G49" s="3"/>
    </row>
    <row r="50" spans="1:7" x14ac:dyDescent="0.25">
      <c r="A50" t="s">
        <v>53</v>
      </c>
      <c r="B50" s="4">
        <f>GLW(Table1[[#This Row],[Region  Product Date    CustomerQuantityRevenue COGS    Profit]],0)*1</f>
        <v>6415</v>
      </c>
      <c r="C50" s="4">
        <f>GLW(TRIM(Table1[[#This Row],[Region  Product Date    CustomerQuantityRevenue COGS    Profit]]),2)*1</f>
        <v>11525</v>
      </c>
      <c r="D50" s="4" t="str">
        <f>_xlfn.CONCAT(Table1[[#This Row],[Region  Product Date    CustomerQuantityRevenue COGS    Profit]],Table1[[#This Row],[PENDING]],Table1[[#This Row],[SEARCHING FOR]])</f>
        <v>500011203XYZ     9/15/200OPQ, INC     500   11525    5110    6415641511525</v>
      </c>
      <c r="E50" s="5">
        <f>SUM($C$2:C50)</f>
        <v>507425</v>
      </c>
      <c r="F50" s="3"/>
      <c r="G50" s="3"/>
    </row>
    <row r="51" spans="1:7" x14ac:dyDescent="0.25">
      <c r="A51" t="s">
        <v>54</v>
      </c>
      <c r="B51" s="4">
        <f>GLW(Table1[[#This Row],[Region  Product Date    CustomerQuantityRevenue COGS    Profit]],0)*1</f>
        <v>10720</v>
      </c>
      <c r="C51" s="4">
        <f>GLW(TRIM(Table1[[#This Row],[Region  Product Date    CustomerQuantityRevenue COGS    Profit]]),2)*1</f>
        <v>20940</v>
      </c>
      <c r="D51" s="4" t="str">
        <f>_xlfn.CONCAT(Table1[[#This Row],[Region  Product Date    CustomerQuantityRevenue COGS    Profit]],Table1[[#This Row],[PENDING]],Table1[[#This Row],[SEARCHING FOR]])</f>
        <v>500011204   XYZ     9/16/200WXY, CO     1000   20940   10220   107201072020940</v>
      </c>
      <c r="E51" s="5">
        <f>SUM($C$2:C51)</f>
        <v>528365</v>
      </c>
      <c r="F51" s="3"/>
      <c r="G51" s="3"/>
    </row>
    <row r="52" spans="1:7" x14ac:dyDescent="0.25">
      <c r="A52" t="s">
        <v>55</v>
      </c>
      <c r="B52" s="4">
        <f>GLW(Table1[[#This Row],[Region  Product Date    CustomerQuantityRevenue COGS    Profit]],0)*1</f>
        <v>1273</v>
      </c>
      <c r="C52" s="4">
        <f>GLW(TRIM(Table1[[#This Row],[Region  Product Date    CustomerQuantityRevenue COGS    Profit]]),2)*1</f>
        <v>2257</v>
      </c>
      <c r="D52" s="4" t="str">
        <f>_xlfn.CONCAT(Table1[[#This Row],[Region  Product Date    CustomerQuantityRevenue COGS    Profit]],Table1[[#This Row],[PENDING]],Table1[[#This Row],[SEARCHING FOR]])</f>
        <v>500011205   XYZ     9/17/200QRS INC.     100    2257     984    127312732257</v>
      </c>
      <c r="E52" s="5">
        <f>SUM($C$2:C52)</f>
        <v>530622</v>
      </c>
      <c r="F52" s="3"/>
      <c r="G52" s="3"/>
    </row>
    <row r="53" spans="1:7" x14ac:dyDescent="0.25">
      <c r="A53" t="s">
        <v>56</v>
      </c>
      <c r="B53" s="4">
        <f>GLW(Table1[[#This Row],[Region  Product Date    CustomerQuantityRevenue COGS    Profit]],0)*1</f>
        <v>6216</v>
      </c>
      <c r="C53" s="4">
        <f>GLW(TRIM(Table1[[#This Row],[Region  Product Date    CustomerQuantityRevenue COGS    Profit]]),2)*1</f>
        <v>12145</v>
      </c>
      <c r="D53" s="4" t="str">
        <f>_xlfn.CONCAT(Table1[[#This Row],[Region  Product Date    CustomerQuantityRevenue COGS    Profit]],Table1[[#This Row],[PENDING]],Table1[[#This Row],[SEARCHING FOR]])</f>
        <v>500011206   ABC     9/18/200FGH LTD.     700   12145    5929    6216621612145</v>
      </c>
      <c r="E53" s="5">
        <f>SUM($C$2:C53)</f>
        <v>542767</v>
      </c>
      <c r="F53" s="3"/>
      <c r="G53" s="3"/>
    </row>
    <row r="54" spans="1:7" x14ac:dyDescent="0.25">
      <c r="A54" t="s">
        <v>57</v>
      </c>
      <c r="B54" s="4">
        <f>GLW(Table1[[#This Row],[Region  Product Date    CustomerQuantityRevenue COGS    Profit]],0)*1</f>
        <v>12460</v>
      </c>
      <c r="C54" s="4">
        <f>GLW(TRIM(Table1[[#This Row],[Region  Product Date    CustomerQuantityRevenue COGS    Profit]]),2)*1</f>
        <v>22680</v>
      </c>
      <c r="D54" s="4" t="str">
        <f>_xlfn.CONCAT(Table1[[#This Row],[Region  Product Date    CustomerQuantityRevenue COGS    Profit]],Table1[[#This Row],[PENDING]],Table1[[#This Row],[SEARCHING FOR]])</f>
        <v>500011207XYZ     9/18/200QRS INC.    1000   22680   10220   124601246022680</v>
      </c>
      <c r="E54" s="5">
        <f>SUM($C$2:C54)</f>
        <v>565447</v>
      </c>
      <c r="F54" s="3"/>
      <c r="G54" s="3"/>
    </row>
    <row r="55" spans="1:7" x14ac:dyDescent="0.25">
      <c r="A55" t="s">
        <v>58</v>
      </c>
      <c r="B55" s="4">
        <f>GLW(Table1[[#This Row],[Region  Product Date    CustomerQuantityRevenue COGS    Profit]],0)*1</f>
        <v>7302</v>
      </c>
      <c r="C55" s="4">
        <f>GLW(TRIM(Table1[[#This Row],[Region  Product Date    CustomerQuantityRevenue COGS    Profit]]),2)*1</f>
        <v>13206</v>
      </c>
      <c r="D55" s="4" t="str">
        <f>_xlfn.CONCAT(Table1[[#This Row],[Region  Product Date    CustomerQuantityRevenue COGS    Profit]],Table1[[#This Row],[PENDING]],Table1[[#This Row],[SEARCHING FOR]])</f>
        <v>500011208   DEF     9/18/200QRS INC.     600   13206    5904    7302730213206</v>
      </c>
      <c r="E55" s="5">
        <f>SUM($C$2:C55)</f>
        <v>578653</v>
      </c>
      <c r="F55" s="3"/>
      <c r="G55" s="3"/>
    </row>
    <row r="56" spans="1:7" x14ac:dyDescent="0.25">
      <c r="A56" t="s">
        <v>59</v>
      </c>
      <c r="B56" s="4">
        <f>GLW(Table1[[#This Row],[Region  Product Date    CustomerQuantityRevenue COGS    Profit]],0)*1</f>
        <v>11754</v>
      </c>
      <c r="C56" s="4">
        <f>GLW(TRIM(Table1[[#This Row],[Region  Product Date    CustomerQuantityRevenue COGS    Profit]]),2)*1</f>
        <v>20610</v>
      </c>
      <c r="D56" s="4" t="str">
        <f>_xlfn.CONCAT(Table1[[#This Row],[Region  Product Date    CustomerQuantityRevenue COGS    Profit]],Table1[[#This Row],[PENDING]],Table1[[#This Row],[SEARCHING FOR]])</f>
        <v>500011209DEF     9/18/200MNO CORP     900   20610    8856   117541175420610</v>
      </c>
      <c r="E56" s="5">
        <f>SUM($C$2:C56)</f>
        <v>599263</v>
      </c>
      <c r="F56" s="3"/>
      <c r="G56" s="3"/>
    </row>
    <row r="57" spans="1:7" x14ac:dyDescent="0.25">
      <c r="A57" t="s">
        <v>60</v>
      </c>
      <c r="B57" s="4">
        <f>GLW(Table1[[#This Row],[Region  Product Date    CustomerQuantityRevenue COGS    Profit]],0)*1</f>
        <v>10213</v>
      </c>
      <c r="C57" s="4">
        <f>GLW(TRIM(Table1[[#This Row],[Region  Product Date    CustomerQuantityRevenue COGS    Profit]]),2)*1</f>
        <v>17367</v>
      </c>
      <c r="D57" s="4" t="str">
        <f>_xlfn.CONCAT(Table1[[#This Row],[Region  Product Date    CustomerQuantityRevenue COGS    Profit]],Table1[[#This Row],[PENDING]],Table1[[#This Row],[SEARCHING FOR]])</f>
        <v>500011210XYZ     9/18/200EFG S.A.     700   17367    7154   102131021317367</v>
      </c>
      <c r="E57" s="5">
        <f>SUM($C$2:C57)</f>
        <v>616630</v>
      </c>
      <c r="F57" s="3"/>
      <c r="G57" s="3"/>
    </row>
    <row r="58" spans="1:7" x14ac:dyDescent="0.25">
      <c r="A58" t="s">
        <v>61</v>
      </c>
      <c r="B58" s="4">
        <f>GLW(Table1[[#This Row],[Region  Product Date    CustomerQuantityRevenue COGS    Profit]],0)*1</f>
        <v>14920</v>
      </c>
      <c r="C58" s="4">
        <f>GLW(TRIM(Table1[[#This Row],[Region  Product Date    CustomerQuantityRevenue COGS    Profit]]),2)*1</f>
        <v>25140</v>
      </c>
      <c r="D58" s="4" t="str">
        <f>_xlfn.CONCAT(Table1[[#This Row],[Region  Product Date    CustomerQuantityRevenue COGS    Profit]],Table1[[#This Row],[PENDING]],Table1[[#This Row],[SEARCHING FOR]])</f>
        <v>500011211XYZ     9/18/200OPQ, INC    1000   25140   10220   149201492025140</v>
      </c>
      <c r="E58" s="5">
        <f>SUM($C$2:C58)</f>
        <v>641770</v>
      </c>
      <c r="F58" s="3"/>
      <c r="G58" s="3"/>
    </row>
    <row r="59" spans="1:7" x14ac:dyDescent="0.25">
      <c r="A59" t="s">
        <v>62</v>
      </c>
      <c r="B59" s="4">
        <f>GLW(Table1[[#This Row],[Region  Product Date    CustomerQuantityRevenue COGS    Profit]],0)*1</f>
        <v>8586</v>
      </c>
      <c r="C59" s="4">
        <f>GLW(TRIM(Table1[[#This Row],[Region  Product Date    CustomerQuantityRevenue COGS    Profit]]),2)*1</f>
        <v>16209</v>
      </c>
      <c r="D59" s="4" t="str">
        <f>_xlfn.CONCAT(Table1[[#This Row],[Region  Product Date    CustomerQuantityRevenue COGS    Profit]],Table1[[#This Row],[PENDING]],Table1[[#This Row],[SEARCHING FOR]])</f>
        <v>500011212ABC     9/19/200QRS INC.     900   16209    7623    8586858616209</v>
      </c>
      <c r="E59" s="5">
        <f>SUM($C$2:C59)</f>
        <v>657979</v>
      </c>
      <c r="F59" s="3"/>
      <c r="G59" s="3"/>
    </row>
    <row r="60" spans="1:7" x14ac:dyDescent="0.25">
      <c r="A60" t="s">
        <v>63</v>
      </c>
      <c r="B60" s="4">
        <f>GLW(Table1[[#This Row],[Region  Product Date    CustomerQuantityRevenue COGS    Profit]],0)*1</f>
        <v>4772</v>
      </c>
      <c r="C60" s="4">
        <f>GLW(TRIM(Table1[[#This Row],[Region  Product Date    CustomerQuantityRevenue COGS    Profit]]),2)*1</f>
        <v>8708</v>
      </c>
      <c r="D60" s="4" t="str">
        <f>_xlfn.CONCAT(Table1[[#This Row],[Region  Product Date    CustomerQuantityRevenue COGS    Profit]],Table1[[#This Row],[PENDING]],Table1[[#This Row],[SEARCHING FOR]])</f>
        <v>500011213   DEF     9/19/200OPQ, INC     400    8708    3936    477247728708</v>
      </c>
      <c r="E60" s="5">
        <f>SUM($C$2:C60)</f>
        <v>666687</v>
      </c>
      <c r="F60" s="3"/>
      <c r="G60" s="3"/>
    </row>
    <row r="61" spans="1:7" x14ac:dyDescent="0.25">
      <c r="A61" t="s">
        <v>64</v>
      </c>
      <c r="B61" s="4">
        <f>GLW(Table1[[#This Row],[Region  Product Date    CustomerQuantityRevenue COGS    Profit]],0)*1</f>
        <v>2570</v>
      </c>
      <c r="C61" s="4">
        <f>GLW(TRIM(Table1[[#This Row],[Region  Product Date    CustomerQuantityRevenue COGS    Profit]]),2)*1</f>
        <v>4614</v>
      </c>
      <c r="D61" s="4" t="str">
        <f>_xlfn.CONCAT(Table1[[#This Row],[Region  Product Date    CustomerQuantityRevenue COGS    Profit]],Table1[[#This Row],[PENDING]],Table1[[#This Row],[SEARCHING FOR]])</f>
        <v>500011214XYZ     9/19/200LMN INC.     200    4614    2044    257025704614</v>
      </c>
      <c r="E61" s="5">
        <f>SUM($C$2:C61)</f>
        <v>671301</v>
      </c>
      <c r="F61" s="3"/>
      <c r="G61" s="3"/>
    </row>
    <row r="62" spans="1:7" x14ac:dyDescent="0.25">
      <c r="A62" t="s">
        <v>65</v>
      </c>
      <c r="B62" s="4">
        <f>GLW(Table1[[#This Row],[Region  Product Date    CustomerQuantityRevenue COGS    Profit]],0)*1</f>
        <v>6840</v>
      </c>
      <c r="C62" s="4">
        <f>GLW(TRIM(Table1[[#This Row],[Region  Product Date    CustomerQuantityRevenue COGS    Profit]]),2)*1</f>
        <v>11922</v>
      </c>
      <c r="D62" s="4" t="str">
        <f>_xlfn.CONCAT(Table1[[#This Row],[Region  Product Date    CustomerQuantityRevenue COGS    Profit]],Table1[[#This Row],[PENDING]],Table1[[#This Row],[SEARCHING FOR]])</f>
        <v>500011215ABC     9/19/200JKL, CO      600   11922    5082    6840684011922</v>
      </c>
      <c r="E62" s="5">
        <f>SUM($C$2:C62)</f>
        <v>683223</v>
      </c>
      <c r="F62" s="3"/>
      <c r="G62" s="3"/>
    </row>
    <row r="63" spans="1:7" x14ac:dyDescent="0.25">
      <c r="A63" t="s">
        <v>66</v>
      </c>
      <c r="B63" s="4">
        <f>GLW(Table1[[#This Row],[Region  Product Date    CustomerQuantityRevenue COGS    Profit]],0)*1</f>
        <v>10270</v>
      </c>
      <c r="C63" s="4">
        <f>GLW(TRIM(Table1[[#This Row],[Region  Product Date    CustomerQuantityRevenue COGS    Profit]]),2)*1</f>
        <v>20490</v>
      </c>
      <c r="D63" s="4" t="str">
        <f>_xlfn.CONCAT(Table1[[#This Row],[Region  Product Date    CustomerQuantityRevenue COGS    Profit]],Table1[[#This Row],[PENDING]],Table1[[#This Row],[SEARCHING FOR]])</f>
        <v>500011216   XYZ     9/20/200JKL, CO     1000   20490   10220   102701027020490</v>
      </c>
      <c r="E63" s="5">
        <f>SUM($C$2:C63)</f>
        <v>703713</v>
      </c>
      <c r="F63" s="3"/>
      <c r="G63" s="3"/>
    </row>
    <row r="64" spans="1:7" x14ac:dyDescent="0.25">
      <c r="A64" t="s">
        <v>67</v>
      </c>
      <c r="B64" s="4">
        <f>GLW(Table1[[#This Row],[Region  Product Date    CustomerQuantityRevenue COGS    Profit]],0)*1</f>
        <v>12258</v>
      </c>
      <c r="C64" s="4">
        <f>GLW(TRIM(Table1[[#This Row],[Region  Product Date    CustomerQuantityRevenue COGS    Profit]]),2)*1</f>
        <v>21456</v>
      </c>
      <c r="D64" s="4" t="str">
        <f>_xlfn.CONCAT(Table1[[#This Row],[Region  Product Date    CustomerQuantityRevenue COGS    Profit]],Table1[[#This Row],[PENDING]],Table1[[#This Row],[SEARCHING FOR]])</f>
        <v>500011217   XYZ     9/20/200FGH LTD.     900   21456    9198   122581225821456</v>
      </c>
      <c r="E64" s="5">
        <f>SUM($C$2:C64)</f>
        <v>725169</v>
      </c>
      <c r="F64" s="3"/>
      <c r="G64" s="3"/>
    </row>
    <row r="65" spans="1:7" x14ac:dyDescent="0.25">
      <c r="A65" t="s">
        <v>68</v>
      </c>
      <c r="B65" s="4">
        <f>GLW(Table1[[#This Row],[Region  Product Date    CustomerQuantityRevenue COGS    Profit]],0)*1</f>
        <v>5335</v>
      </c>
      <c r="C65" s="4">
        <f>GLW(TRIM(Table1[[#This Row],[Region  Product Date    CustomerQuantityRevenue COGS    Profit]]),2)*1</f>
        <v>10445</v>
      </c>
      <c r="D65" s="4" t="str">
        <f>_xlfn.CONCAT(Table1[[#This Row],[Region  Product Date    CustomerQuantityRevenue COGS    Profit]],Table1[[#This Row],[PENDING]],Table1[[#This Row],[SEARCHING FOR]])</f>
        <v>500011218   XYZ     9/21/200OPQ, INC     500   10445    5110    5335533510445</v>
      </c>
      <c r="E65" s="5">
        <f>SUM($C$2:C65)</f>
        <v>735614</v>
      </c>
      <c r="F65" s="3"/>
      <c r="G65" s="3"/>
    </row>
    <row r="66" spans="1:7" x14ac:dyDescent="0.25">
      <c r="A66" t="s">
        <v>69</v>
      </c>
      <c r="B66" s="4">
        <f>GLW(Table1[[#This Row],[Region  Product Date    CustomerQuantityRevenue COGS    Profit]],0)*1</f>
        <v>4532</v>
      </c>
      <c r="C66" s="4">
        <f>GLW(TRIM(Table1[[#This Row],[Region  Product Date    CustomerQuantityRevenue COGS    Profit]]),2)*1</f>
        <v>8620</v>
      </c>
      <c r="D66" s="4" t="str">
        <f>_xlfn.CONCAT(Table1[[#This Row],[Region  Product Date    CustomerQuantityRevenue COGS    Profit]],Table1[[#This Row],[PENDING]],Table1[[#This Row],[SEARCHING FOR]])</f>
        <v>500011219   XYZ     9/23/200WXY, CO      400    8620    4088    453245328620</v>
      </c>
      <c r="E66" s="5">
        <f>SUM($C$2:C66)</f>
        <v>744234</v>
      </c>
      <c r="F66" s="3"/>
      <c r="G66" s="3"/>
    </row>
    <row r="67" spans="1:7" x14ac:dyDescent="0.25">
      <c r="A67" t="s">
        <v>70</v>
      </c>
      <c r="B67" s="4">
        <f>GLW(Table1[[#This Row],[Region  Product Date    CustomerQuantityRevenue COGS    Profit]],0)*1</f>
        <v>6940</v>
      </c>
      <c r="C67" s="4">
        <f>GLW(TRIM(Table1[[#This Row],[Region  Product Date    CustomerQuantityRevenue COGS    Profit]]),2)*1</f>
        <v>11860</v>
      </c>
      <c r="D67" s="4" t="str">
        <f>_xlfn.CONCAT(Table1[[#This Row],[Region  Product Date    CustomerQuantityRevenue COGS    Profit]],Table1[[#This Row],[PENDING]],Table1[[#This Row],[SEARCHING FOR]])</f>
        <v>500011220   DEF     9/24/200EFG S.A.     500   11860    4920    6940694011860</v>
      </c>
      <c r="E67" s="5">
        <f>SUM($C$2:C67)</f>
        <v>756094</v>
      </c>
      <c r="F67" s="3"/>
      <c r="G67" s="3"/>
    </row>
    <row r="68" spans="1:7" x14ac:dyDescent="0.25">
      <c r="A68" t="s">
        <v>71</v>
      </c>
      <c r="B68" s="4">
        <f>GLW(Table1[[#This Row],[Region  Product Date    CustomerQuantityRevenue COGS    Profit]],0)*1</f>
        <v>8568</v>
      </c>
      <c r="C68" s="4">
        <f>GLW(TRIM(Table1[[#This Row],[Region  Product Date    CustomerQuantityRevenue COGS    Profit]]),2)*1</f>
        <v>14472</v>
      </c>
      <c r="D68" s="4" t="str">
        <f>_xlfn.CONCAT(Table1[[#This Row],[Region  Product Date    CustomerQuantityRevenue COGS    Profit]],Table1[[#This Row],[PENDING]],Table1[[#This Row],[SEARCHING FOR]])</f>
        <v>500011221   DEF     9/24/200WXY, CO      600   14472    5904    8568856814472</v>
      </c>
      <c r="E68" s="5">
        <f>SUM($C$2:C68)</f>
        <v>770566</v>
      </c>
      <c r="F68" s="3"/>
      <c r="G68" s="3"/>
    </row>
    <row r="69" spans="1:7" x14ac:dyDescent="0.25">
      <c r="A69" t="s">
        <v>72</v>
      </c>
      <c r="B69" s="4">
        <f>GLW(Table1[[#This Row],[Region  Product Date    CustomerQuantityRevenue COGS    Profit]],0)*1</f>
        <v>2218</v>
      </c>
      <c r="C69" s="4">
        <f>GLW(TRIM(Table1[[#This Row],[Region  Product Date    CustomerQuantityRevenue COGS    Profit]]),2)*1</f>
        <v>4262</v>
      </c>
      <c r="D69" s="4" t="str">
        <f>_xlfn.CONCAT(Table1[[#This Row],[Region  Product Date    CustomerQuantityRevenue COGS    Profit]],Table1[[#This Row],[PENDING]],Table1[[#This Row],[SEARCHING FOR]])</f>
        <v>500011222XYZ     9/25/200OPQ, INC     200    4262    2044    221822184262</v>
      </c>
      <c r="E69" s="5">
        <f>SUM($C$2:C69)</f>
        <v>774828</v>
      </c>
      <c r="F69" s="3"/>
      <c r="G69" s="3"/>
    </row>
    <row r="70" spans="1:7" x14ac:dyDescent="0.25">
      <c r="A70" t="s">
        <v>73</v>
      </c>
      <c r="B70" s="4">
        <f>GLW(Table1[[#This Row],[Region  Product Date    CustomerQuantityRevenue COGS    Profit]],0)*1</f>
        <v>6545</v>
      </c>
      <c r="C70" s="4">
        <f>GLW(TRIM(Table1[[#This Row],[Region  Product Date    CustomerQuantityRevenue COGS    Profit]]),2)*1</f>
        <v>12474</v>
      </c>
      <c r="D70" s="4" t="str">
        <f>_xlfn.CONCAT(Table1[[#This Row],[Region  Product Date    CustomerQuantityRevenue COGS    Profit]],Table1[[#This Row],[PENDING]],Table1[[#This Row],[SEARCHING FOR]])</f>
        <v>500011223   ABC     9/26/200VWX GMBH     700   12474    5929    6545654512474</v>
      </c>
      <c r="E70" s="5">
        <f>SUM($C$2:C70)</f>
        <v>787302</v>
      </c>
      <c r="F70" s="3"/>
      <c r="G70" s="3"/>
    </row>
    <row r="71" spans="1:7" x14ac:dyDescent="0.25">
      <c r="A71" t="s">
        <v>74</v>
      </c>
      <c r="B71" s="4">
        <f>GLW(Table1[[#This Row],[Region  Product Date    CustomerQuantityRevenue COGS    Profit]],0)*1</f>
        <v>8208</v>
      </c>
      <c r="C71" s="4">
        <f>GLW(TRIM(Table1[[#This Row],[Region  Product Date    CustomerQuantityRevenue COGS    Profit]]),2)*1</f>
        <v>14984</v>
      </c>
      <c r="D71" s="4" t="str">
        <f>_xlfn.CONCAT(Table1[[#This Row],[Region  Product Date    CustomerQuantityRevenue COGS    Profit]],Table1[[#This Row],[PENDING]],Table1[[#This Row],[SEARCHING FOR]])</f>
        <v>500011224   ABC     9/26/200HIJ GMBH     800   14984    6776    8208820814984</v>
      </c>
      <c r="E71" s="5">
        <f>SUM($C$2:C71)</f>
        <v>802286</v>
      </c>
      <c r="F71" s="3"/>
      <c r="G71" s="3"/>
    </row>
    <row r="72" spans="1:7" x14ac:dyDescent="0.25">
      <c r="A72" t="s">
        <v>75</v>
      </c>
      <c r="B72" s="4">
        <f>GLW(Table1[[#This Row],[Region  Product Date    CustomerQuantityRevenue COGS    Profit]],0)*1</f>
        <v>2316</v>
      </c>
      <c r="C72" s="4">
        <f>GLW(TRIM(Table1[[#This Row],[Region  Product Date    CustomerQuantityRevenue COGS    Profit]]),2)*1</f>
        <v>4010</v>
      </c>
      <c r="D72" s="4" t="str">
        <f>_xlfn.CONCAT(Table1[[#This Row],[Region  Product Date    CustomerQuantityRevenue COGS    Profit]],Table1[[#This Row],[PENDING]],Table1[[#This Row],[SEARCHING FOR]])</f>
        <v>500011225ABC     9/26/200QRS INC.     200    4010    1694    231623164010</v>
      </c>
      <c r="E72" s="5">
        <f>SUM($C$2:C72)</f>
        <v>806296</v>
      </c>
      <c r="F72" s="3"/>
      <c r="G72" s="3"/>
    </row>
    <row r="73" spans="1:7" x14ac:dyDescent="0.25">
      <c r="A73" t="s">
        <v>76</v>
      </c>
      <c r="B73" s="4">
        <f>GLW(Table1[[#This Row],[Region  Product Date    CustomerQuantityRevenue COGS    Profit]],0)*1</f>
        <v>1020</v>
      </c>
      <c r="C73" s="4">
        <f>GLW(TRIM(Table1[[#This Row],[Region  Product Date    CustomerQuantityRevenue COGS    Profit]]),2)*1</f>
        <v>2004</v>
      </c>
      <c r="D73" s="4" t="str">
        <f>_xlfn.CONCAT(Table1[[#This Row],[Region  Product Date    CustomerQuantityRevenue COGS    Profit]],Table1[[#This Row],[PENDING]],Table1[[#This Row],[SEARCHING FOR]])</f>
        <v>500011226   XYZ     9/27/200FGH LTD.     100    2004     984    102010202004</v>
      </c>
      <c r="E73" s="5">
        <f>SUM($C$2:C73)</f>
        <v>808300</v>
      </c>
      <c r="F73" s="3"/>
      <c r="G73" s="3"/>
    </row>
    <row r="74" spans="1:7" x14ac:dyDescent="0.25">
      <c r="A74" t="s">
        <v>77</v>
      </c>
      <c r="B74" s="4">
        <f>GLW(Table1[[#This Row],[Region  Product Date    CustomerQuantityRevenue COGS    Profit]],0)*1</f>
        <v>5920</v>
      </c>
      <c r="C74" s="4">
        <f>GLW(TRIM(Table1[[#This Row],[Region  Product Date    CustomerQuantityRevenue COGS    Profit]]),2)*1</f>
        <v>10155</v>
      </c>
      <c r="D74" s="4" t="str">
        <f>_xlfn.CONCAT(Table1[[#This Row],[Region  Product Date    CustomerQuantityRevenue COGS    Profit]],Table1[[#This Row],[PENDING]],Table1[[#This Row],[SEARCHING FOR]])</f>
        <v>500011227   XYZ     9/27/200DEF, LLC     500   10155    4235    5920592010155</v>
      </c>
      <c r="E74" s="5">
        <f>SUM($C$2:C74)</f>
        <v>818455</v>
      </c>
      <c r="F74" s="3"/>
      <c r="G74" s="3"/>
    </row>
    <row r="75" spans="1:7" x14ac:dyDescent="0.25">
      <c r="A75" t="s">
        <v>78</v>
      </c>
      <c r="B75" s="4">
        <f>GLW(Table1[[#This Row],[Region  Product Date    CustomerQuantityRevenue COGS    Profit]],0)*1</f>
        <v>1374</v>
      </c>
      <c r="C75" s="4">
        <f>GLW(TRIM(Table1[[#This Row],[Region  Product Date    CustomerQuantityRevenue COGS    Profit]]),2)*1</f>
        <v>2358</v>
      </c>
      <c r="D75" s="4" t="str">
        <f>_xlfn.CONCAT(Table1[[#This Row],[Region  Product Date    CustomerQuantityRevenue COGS    Profit]],Table1[[#This Row],[PENDING]],Table1[[#This Row],[SEARCHING FOR]])</f>
        <v>500011228   XYZ     9/28/200FGH, CO      100    2358     984    137413742358</v>
      </c>
      <c r="E75" s="5">
        <f>SUM($C$2:C75)</f>
        <v>820813</v>
      </c>
      <c r="F75" s="3"/>
      <c r="G75" s="3"/>
    </row>
    <row r="76" spans="1:7" x14ac:dyDescent="0.25">
      <c r="A76" t="s">
        <v>79</v>
      </c>
      <c r="B76" s="4">
        <f>GLW(Table1[[#This Row],[Region  Product Date    CustomerQuantityRevenue COGS    Profit]],0)*1</f>
        <v>2786</v>
      </c>
      <c r="C76" s="4">
        <f>GLW(TRIM(Table1[[#This Row],[Region  Product Date    CustomerQuantityRevenue COGS    Profit]]),2)*1</f>
        <v>4754</v>
      </c>
      <c r="D76" s="4" t="str">
        <f>_xlfn.CONCAT(Table1[[#This Row],[Region  Product Date    CustomerQuantityRevenue COGS    Profit]],Table1[[#This Row],[PENDING]],Table1[[#This Row],[SEARCHING FOR]])</f>
        <v>500011229   XYZ     9/28/200FGH LTD.     200    4754    1968    278627864754</v>
      </c>
      <c r="E76" s="5">
        <f>SUM($C$2:C76)</f>
        <v>825567</v>
      </c>
      <c r="F76" s="3"/>
      <c r="G76" s="3"/>
    </row>
    <row r="77" spans="1:7" x14ac:dyDescent="0.25">
      <c r="A77" t="s">
        <v>80</v>
      </c>
      <c r="B77" s="4">
        <f>GLW(Table1[[#This Row],[Region  Product Date    CustomerQuantityRevenue COGS    Profit]],0)*1</f>
        <v>7395</v>
      </c>
      <c r="C77" s="4">
        <f>GLW(TRIM(Table1[[#This Row],[Region  Product Date    CustomerQuantityRevenue COGS    Profit]]),2)*1</f>
        <v>12505</v>
      </c>
      <c r="D77" s="4" t="str">
        <f>_xlfn.CONCAT(Table1[[#This Row],[Region  Product Date    CustomerQuantityRevenue COGS    Profit]],Table1[[#This Row],[PENDING]],Table1[[#This Row],[SEARCHING FOR]])</f>
        <v>500011230XYZ     9/29/200FGH LTD.     500   12505    5110    7395739512505</v>
      </c>
      <c r="E77" s="5">
        <f>SUM($C$2:C77)</f>
        <v>838072</v>
      </c>
      <c r="F77" s="3"/>
      <c r="G77" s="3"/>
    </row>
    <row r="78" spans="1:7" x14ac:dyDescent="0.25">
      <c r="A78" t="s">
        <v>81</v>
      </c>
      <c r="B78" s="4">
        <f>GLW(Table1[[#This Row],[Region  Product Date    CustomerQuantityRevenue COGS    Profit]],0)*1</f>
        <v>10647</v>
      </c>
      <c r="C78" s="4">
        <f>GLW(TRIM(Table1[[#This Row],[Region  Product Date    CustomerQuantityRevenue COGS    Profit]]),2)*1</f>
        <v>19503</v>
      </c>
      <c r="D78" s="4" t="str">
        <f>_xlfn.CONCAT(Table1[[#This Row],[Region  Product Date    CustomerQuantityRevenue COGS    Profit]],Table1[[#This Row],[PENDING]],Table1[[#This Row],[SEARCHING FOR]])</f>
        <v>500011231DEF     9/30/200OPQ, INC     900   19503    8856   106471064719503</v>
      </c>
      <c r="E78" s="5">
        <f>SUM($C$2:C78)</f>
        <v>857575</v>
      </c>
      <c r="F78" s="3"/>
      <c r="G78" s="3"/>
    </row>
    <row r="79" spans="1:7" x14ac:dyDescent="0.25">
      <c r="A79" t="s">
        <v>82</v>
      </c>
      <c r="B79" s="4">
        <f>GLW(Table1[[#This Row],[Region  Product Date    CustomerQuantityRevenue COGS    Profit]],0)*1</f>
        <v>1287</v>
      </c>
      <c r="C79" s="4">
        <f>GLW(TRIM(Table1[[#This Row],[Region  Product Date    CustomerQuantityRevenue COGS    Profit]]),2)*1</f>
        <v>2309</v>
      </c>
      <c r="D79" s="4" t="str">
        <f>_xlfn.CONCAT(Table1[[#This Row],[Region  Product Date    CustomerQuantityRevenue COGS    Profit]],Table1[[#This Row],[PENDING]],Table1[[#This Row],[SEARCHING FOR]])</f>
        <v>500011232   XYZ     10/1/200JKL, CO      100    2309    1022    128712872309</v>
      </c>
      <c r="E79" s="5">
        <f>SUM($C$2:C79)</f>
        <v>859884</v>
      </c>
      <c r="F79" s="3"/>
      <c r="G79" s="3"/>
    </row>
    <row r="80" spans="1:7" x14ac:dyDescent="0.25">
      <c r="A80" t="s">
        <v>83</v>
      </c>
      <c r="B80" s="4">
        <f>GLW(Table1[[#This Row],[Region  Product Date    CustomerQuantityRevenue COGS    Profit]],0)*1</f>
        <v>1156</v>
      </c>
      <c r="C80" s="4">
        <f>GLW(TRIM(Table1[[#This Row],[Region  Product Date    CustomerQuantityRevenue COGS    Profit]]),2)*1</f>
        <v>2178</v>
      </c>
      <c r="D80" s="4" t="str">
        <f>_xlfn.CONCAT(Table1[[#This Row],[Region  Product Date    CustomerQuantityRevenue COGS    Profit]],Table1[[#This Row],[PENDING]],Table1[[#This Row],[SEARCHING FOR]])</f>
        <v>500011233   XYZ     10/2/200MNO S.A.     100    2178    1022    115611562178</v>
      </c>
      <c r="E80" s="5">
        <f>SUM($C$2:C80)</f>
        <v>862062</v>
      </c>
      <c r="F80" s="3"/>
      <c r="G80" s="3"/>
    </row>
    <row r="81" spans="1:7" x14ac:dyDescent="0.25">
      <c r="A81" t="s">
        <v>84</v>
      </c>
      <c r="B81" s="4">
        <f>GLW(Table1[[#This Row],[Region  Product Date    CustomerQuantityRevenue COGS    Profit]],0)*1</f>
        <v>857</v>
      </c>
      <c r="C81" s="4">
        <f>GLW(TRIM(Table1[[#This Row],[Region  Product Date    CustomerQuantityRevenue COGS    Profit]]),2)*1</f>
        <v>1704</v>
      </c>
      <c r="D81" s="4" t="str">
        <f>_xlfn.CONCAT(Table1[[#This Row],[Region  Product Date    CustomerQuantityRevenue COGS    Profit]],Table1[[#This Row],[PENDING]],Table1[[#This Row],[SEARCHING FOR]])</f>
        <v>500011234   ABC     10/3/200FGH LTD.     100    1704     847     8578571704</v>
      </c>
      <c r="E81" s="5">
        <f>SUM($C$2:C81)</f>
        <v>863766</v>
      </c>
      <c r="F81" s="3"/>
      <c r="G81" s="3"/>
    </row>
    <row r="82" spans="1:7" x14ac:dyDescent="0.25">
      <c r="A82" t="s">
        <v>85</v>
      </c>
      <c r="B82" s="4">
        <f>GLW(Table1[[#This Row],[Region  Product Date    CustomerQuantityRevenue COGS    Profit]],0)*1</f>
        <v>972</v>
      </c>
      <c r="C82" s="4">
        <f>GLW(TRIM(Table1[[#This Row],[Region  Product Date    CustomerQuantityRevenue COGS    Profit]]),2)*1</f>
        <v>1819</v>
      </c>
      <c r="D82" s="4" t="str">
        <f>_xlfn.CONCAT(Table1[[#This Row],[Region  Product Date    CustomerQuantityRevenue COGS    Profit]],Table1[[#This Row],[PENDING]],Table1[[#This Row],[SEARCHING FOR]])</f>
        <v>500011235   ABC     10/3/200EFG S.A.     100    1819     847     9729721819</v>
      </c>
      <c r="E82" s="5">
        <f>SUM($C$2:C82)</f>
        <v>865585</v>
      </c>
      <c r="F82" s="3"/>
      <c r="G82" s="3"/>
    </row>
    <row r="83" spans="1:7" x14ac:dyDescent="0.25">
      <c r="A83" t="s">
        <v>86</v>
      </c>
      <c r="B83" s="4">
        <f>GLW(Table1[[#This Row],[Region  Product Date    CustomerQuantityRevenue COGS    Profit]],0)*1</f>
        <v>1110</v>
      </c>
      <c r="C83" s="4">
        <f>GLW(TRIM(Table1[[#This Row],[Region  Product Date    CustomerQuantityRevenue COGS    Profit]]),2)*1</f>
        <v>1957</v>
      </c>
      <c r="D83" s="4" t="str">
        <f>_xlfn.CONCAT(Table1[[#This Row],[Region  Product Date    CustomerQuantityRevenue COGS    Profit]],Table1[[#This Row],[PENDING]],Table1[[#This Row],[SEARCHING FOR]])</f>
        <v>500011236   XYZ     10/3/200EFG S.A.     100    1957     847    111011101957</v>
      </c>
      <c r="E83" s="5">
        <f>SUM($C$2:C83)</f>
        <v>867542</v>
      </c>
      <c r="F83" s="3"/>
      <c r="G83" s="3"/>
    </row>
    <row r="84" spans="1:7" x14ac:dyDescent="0.25">
      <c r="A84" t="s">
        <v>87</v>
      </c>
      <c r="B84" s="4">
        <f>GLW(Table1[[#This Row],[Region  Product Date    CustomerQuantityRevenue COGS    Profit]],0)*1</f>
        <v>4239</v>
      </c>
      <c r="C84" s="4">
        <f>GLW(TRIM(Table1[[#This Row],[Region  Product Date    CustomerQuantityRevenue COGS    Profit]]),2)*1</f>
        <v>7305</v>
      </c>
      <c r="D84" s="4" t="str">
        <f>_xlfn.CONCAT(Table1[[#This Row],[Region  Product Date    CustomerQuantityRevenue COGS    Profit]],Table1[[#This Row],[PENDING]],Table1[[#This Row],[SEARCHING FOR]])</f>
        <v>500011237   XYZ     10/3/200EFG S.A.     300    7305    3066    423942397305</v>
      </c>
      <c r="E84" s="5">
        <f>SUM($C$2:C84)</f>
        <v>874847</v>
      </c>
      <c r="F84" s="3"/>
      <c r="G84" s="3"/>
    </row>
    <row r="85" spans="1:7" x14ac:dyDescent="0.25">
      <c r="A85" t="s">
        <v>88</v>
      </c>
      <c r="B85" s="4">
        <f>GLW(Table1[[#This Row],[Region  Product Date    CustomerQuantityRevenue COGS    Profit]],0)*1</f>
        <v>2080</v>
      </c>
      <c r="C85" s="4">
        <f>GLW(TRIM(Table1[[#This Row],[Region  Product Date    CustomerQuantityRevenue COGS    Profit]]),2)*1</f>
        <v>4124</v>
      </c>
      <c r="D85" s="4" t="str">
        <f>_xlfn.CONCAT(Table1[[#This Row],[Region  Product Date    CustomerQuantityRevenue COGS    Profit]],Table1[[#This Row],[PENDING]],Table1[[#This Row],[SEARCHING FOR]])</f>
        <v>500011238XYZ     10/4/200DEF, LLC     200    4124    2044    208020804124</v>
      </c>
      <c r="E85" s="5">
        <f>SUM($C$2:C85)</f>
        <v>878971</v>
      </c>
      <c r="F85" s="3"/>
      <c r="G85" s="3"/>
    </row>
    <row r="86" spans="1:7" x14ac:dyDescent="0.25">
      <c r="A86" t="s">
        <v>89</v>
      </c>
      <c r="B86" s="4">
        <f>GLW(Table1[[#This Row],[Region  Product Date    CustomerQuantityRevenue COGS    Profit]],0)*1</f>
        <v>5825</v>
      </c>
      <c r="C86" s="4">
        <f>GLW(TRIM(Table1[[#This Row],[Region  Product Date    CustomerQuantityRevenue COGS    Profit]]),2)*1</f>
        <v>10935</v>
      </c>
      <c r="D86" s="4" t="str">
        <f>_xlfn.CONCAT(Table1[[#This Row],[Region  Product Date    CustomerQuantityRevenue COGS    Profit]],Table1[[#This Row],[PENDING]],Table1[[#This Row],[SEARCHING FOR]])</f>
        <v>500011239   XYZ     10/4/200OPQ, INC     500   10935    5110    5825582510935</v>
      </c>
      <c r="E86" s="5">
        <f>SUM($C$2:C86)</f>
        <v>889906</v>
      </c>
      <c r="F86" s="3"/>
      <c r="G86" s="3"/>
    </row>
    <row r="87" spans="1:7" x14ac:dyDescent="0.25">
      <c r="A87" t="s">
        <v>90</v>
      </c>
      <c r="B87" s="4">
        <f>GLW(Table1[[#This Row],[Region  Product Date    CustomerQuantityRevenue COGS    Profit]],0)*1</f>
        <v>1122</v>
      </c>
      <c r="C87" s="4">
        <f>GLW(TRIM(Table1[[#This Row],[Region  Product Date    CustomerQuantityRevenue COGS    Profit]]),2)*1</f>
        <v>2106</v>
      </c>
      <c r="D87" s="4" t="str">
        <f>_xlfn.CONCAT(Table1[[#This Row],[Region  Product Date    CustomerQuantityRevenue COGS    Profit]],Table1[[#This Row],[PENDING]],Table1[[#This Row],[SEARCHING FOR]])</f>
        <v>500011240   XYZ     10/4/200FGH LTD.     100    2106     984    112211222106</v>
      </c>
      <c r="E87" s="5">
        <f>SUM($C$2:C87)</f>
        <v>892012</v>
      </c>
      <c r="F87" s="3"/>
      <c r="G87" s="3"/>
    </row>
    <row r="88" spans="1:7" x14ac:dyDescent="0.25">
      <c r="A88" t="s">
        <v>91</v>
      </c>
      <c r="B88" s="4">
        <f>GLW(Table1[[#This Row],[Region  Product Date    CustomerQuantityRevenue COGS    Profit]],0)*1</f>
        <v>972</v>
      </c>
      <c r="C88" s="4">
        <f>GLW(TRIM(Table1[[#This Row],[Region  Product Date    CustomerQuantityRevenue COGS    Profit]]),2)*1</f>
        <v>1819</v>
      </c>
      <c r="D88" s="4" t="str">
        <f>_xlfn.CONCAT(Table1[[#This Row],[Region  Product Date    CustomerQuantityRevenue COGS    Profit]],Table1[[#This Row],[PENDING]],Table1[[#This Row],[SEARCHING FOR]])</f>
        <v>500011241   XYZ     10/4/200FGH, CO      100    1819     847     9729721819</v>
      </c>
      <c r="E88" s="5">
        <f>SUM($C$2:C88)</f>
        <v>893831</v>
      </c>
      <c r="F88" s="3"/>
      <c r="G88" s="3"/>
    </row>
    <row r="89" spans="1:7" x14ac:dyDescent="0.25">
      <c r="A89" t="s">
        <v>92</v>
      </c>
      <c r="B89" s="4">
        <f>GLW(Table1[[#This Row],[Region  Product Date    CustomerQuantityRevenue COGS    Profit]],0)*1</f>
        <v>6855</v>
      </c>
      <c r="C89" s="4">
        <f>GLW(TRIM(Table1[[#This Row],[Region  Product Date    CustomerQuantityRevenue COGS    Profit]]),2)*1</f>
        <v>11965</v>
      </c>
      <c r="D89" s="4" t="str">
        <f>_xlfn.CONCAT(Table1[[#This Row],[Region  Product Date    CustomerQuantityRevenue COGS    Profit]],Table1[[#This Row],[PENDING]],Table1[[#This Row],[SEARCHING FOR]])</f>
        <v>500011242   XYZ     10/4/200EFG S.A.     500   11965    5110    6855685511965</v>
      </c>
      <c r="E89" s="5">
        <f>SUM($C$2:C89)</f>
        <v>905796</v>
      </c>
      <c r="F89" s="3"/>
      <c r="G89" s="3"/>
    </row>
    <row r="90" spans="1:7" x14ac:dyDescent="0.25">
      <c r="A90" t="s">
        <v>93</v>
      </c>
      <c r="B90" s="4">
        <f>GLW(Table1[[#This Row],[Region  Product Date    CustomerQuantityRevenue COGS    Profit]],0)*1</f>
        <v>14210</v>
      </c>
      <c r="C90" s="4">
        <f>GLW(TRIM(Table1[[#This Row],[Region  Product Date    CustomerQuantityRevenue COGS    Profit]]),2)*1</f>
        <v>24430</v>
      </c>
      <c r="D90" s="4" t="str">
        <f>_xlfn.CONCAT(Table1[[#This Row],[Region  Product Date    CustomerQuantityRevenue COGS    Profit]],Table1[[#This Row],[PENDING]],Table1[[#This Row],[SEARCHING FOR]])</f>
        <v>500011243XYZ     10/4/200LMN PTY     1000   24430   10220   142101421024430</v>
      </c>
      <c r="E90" s="5">
        <f>SUM($C$2:C90)</f>
        <v>930226</v>
      </c>
      <c r="F90" s="3"/>
      <c r="G90" s="3"/>
    </row>
    <row r="91" spans="1:7" x14ac:dyDescent="0.25">
      <c r="A91" t="s">
        <v>94</v>
      </c>
      <c r="B91" s="4">
        <f>GLW(Table1[[#This Row],[Region  Product Date    CustomerQuantityRevenue COGS    Profit]],0)*1</f>
        <v>5152</v>
      </c>
      <c r="C91" s="4">
        <f>GLW(TRIM(Table1[[#This Row],[Region  Product Date    CustomerQuantityRevenue COGS    Profit]]),2)*1</f>
        <v>9240</v>
      </c>
      <c r="D91" s="4" t="str">
        <f>_xlfn.CONCAT(Table1[[#This Row],[Region  Product Date    CustomerQuantityRevenue COGS    Profit]],Table1[[#This Row],[PENDING]],Table1[[#This Row],[SEARCHING FOR]])</f>
        <v>500011244   XYZ     10/6/200HIJ GMBH     400    9240    4088    515251529240</v>
      </c>
      <c r="E91" s="5">
        <f>SUM($C$2:C91)</f>
        <v>939466</v>
      </c>
      <c r="F91" s="3"/>
      <c r="G91" s="3"/>
    </row>
    <row r="92" spans="1:7" x14ac:dyDescent="0.25">
      <c r="A92" t="s">
        <v>95</v>
      </c>
      <c r="B92" s="4">
        <f>GLW(Table1[[#This Row],[Region  Product Date    CustomerQuantityRevenue COGS    Profit]],0)*1</f>
        <v>1321</v>
      </c>
      <c r="C92" s="4">
        <f>GLW(TRIM(Table1[[#This Row],[Region  Product Date    CustomerQuantityRevenue COGS    Profit]]),2)*1</f>
        <v>2343</v>
      </c>
      <c r="D92" s="4" t="str">
        <f>_xlfn.CONCAT(Table1[[#This Row],[Region  Product Date    CustomerQuantityRevenue COGS    Profit]],Table1[[#This Row],[PENDING]],Table1[[#This Row],[SEARCHING FOR]])</f>
        <v>500011245   XYZ     10/6/200FGH LTD.     100    2343    1022    132113212343</v>
      </c>
      <c r="E92" s="5">
        <f>SUM($C$2:C92)</f>
        <v>941809</v>
      </c>
      <c r="F92" s="3"/>
      <c r="G92" s="3"/>
    </row>
    <row r="93" spans="1:7" x14ac:dyDescent="0.25">
      <c r="A93" t="s">
        <v>96</v>
      </c>
      <c r="B93" s="4">
        <f>GLW(Table1[[#This Row],[Region  Product Date    CustomerQuantityRevenue COGS    Profit]],0)*1</f>
        <v>2558</v>
      </c>
      <c r="C93" s="4">
        <f>GLW(TRIM(Table1[[#This Row],[Region  Product Date    CustomerQuantityRevenue COGS    Profit]]),2)*1</f>
        <v>4526</v>
      </c>
      <c r="D93" s="4" t="str">
        <f>_xlfn.CONCAT(Table1[[#This Row],[Region  Product Date    CustomerQuantityRevenue COGS    Profit]],Table1[[#This Row],[PENDING]],Table1[[#This Row],[SEARCHING FOR]])</f>
        <v>500011246   DEF     10/6/200QRS INC.     200    4526    1968    255825584526</v>
      </c>
      <c r="E93" s="5">
        <f>SUM($C$2:C93)</f>
        <v>946335</v>
      </c>
      <c r="F93" s="3"/>
      <c r="G93" s="3"/>
    </row>
    <row r="94" spans="1:7" x14ac:dyDescent="0.25">
      <c r="A94" t="s">
        <v>97</v>
      </c>
      <c r="B94" s="4">
        <f>GLW(Table1[[#This Row],[Region  Product Date    CustomerQuantityRevenue COGS    Profit]],0)*1</f>
        <v>4728</v>
      </c>
      <c r="C94" s="4">
        <f>GLW(TRIM(Table1[[#This Row],[Region  Product Date    CustomerQuantityRevenue COGS    Profit]]),2)*1</f>
        <v>8116</v>
      </c>
      <c r="D94" s="4" t="str">
        <f>_xlfn.CONCAT(Table1[[#This Row],[Region  Product Date    CustomerQuantityRevenue COGS    Profit]],Table1[[#This Row],[PENDING]],Table1[[#This Row],[SEARCHING FOR]])</f>
        <v>500011247   ABC     10/6/200MNO CORP     400    8116    3388    472847288116</v>
      </c>
      <c r="E94" s="5">
        <f>SUM($C$2:C94)</f>
        <v>954451</v>
      </c>
      <c r="F94" s="3"/>
      <c r="G94" s="3"/>
    </row>
    <row r="95" spans="1:7" x14ac:dyDescent="0.25">
      <c r="A95" t="s">
        <v>98</v>
      </c>
      <c r="B95" s="4">
        <f>GLW(Table1[[#This Row],[Region  Product Date    CustomerQuantityRevenue COGS    Profit]],0)*1</f>
        <v>2904</v>
      </c>
      <c r="C95" s="4">
        <f>GLW(TRIM(Table1[[#This Row],[Region  Product Date    CustomerQuantityRevenue COGS    Profit]]),2)*1</f>
        <v>4948</v>
      </c>
      <c r="D95" s="4" t="str">
        <f>_xlfn.CONCAT(Table1[[#This Row],[Region  Product Date    CustomerQuantityRevenue COGS    Profit]],Table1[[#This Row],[PENDING]],Table1[[#This Row],[SEARCHING FOR]])</f>
        <v>500011248   XYZ     10/6/200FGH LTD.     200    4948    2044    290429044948</v>
      </c>
      <c r="E95" s="5">
        <f>SUM($C$2:C95)</f>
        <v>959399</v>
      </c>
      <c r="F95" s="3"/>
      <c r="G95" s="3"/>
    </row>
    <row r="96" spans="1:7" x14ac:dyDescent="0.25">
      <c r="A96" t="s">
        <v>99</v>
      </c>
      <c r="B96" s="4">
        <f>GLW(Table1[[#This Row],[Region  Product Date    CustomerQuantityRevenue COGS    Profit]],0)*1</f>
        <v>2898</v>
      </c>
      <c r="C96" s="4">
        <f>GLW(TRIM(Table1[[#This Row],[Region  Product Date    CustomerQuantityRevenue COGS    Profit]]),2)*1</f>
        <v>4866</v>
      </c>
      <c r="D96" s="4" t="str">
        <f>_xlfn.CONCAT(Table1[[#This Row],[Region  Product Date    CustomerQuantityRevenue COGS    Profit]],Table1[[#This Row],[PENDING]],Table1[[#This Row],[SEARCHING FOR]])</f>
        <v>500011249   XYZ     10/6/200VWX GMBH     200    4866    1968    289828984866</v>
      </c>
      <c r="E96" s="5">
        <f>SUM($C$2:C96)</f>
        <v>964265</v>
      </c>
      <c r="F96" s="3"/>
      <c r="G96" s="3"/>
    </row>
    <row r="97" spans="1:7" x14ac:dyDescent="0.25">
      <c r="A97" t="s">
        <v>100</v>
      </c>
      <c r="B97" s="4">
        <f>GLW(Table1[[#This Row],[Region  Product Date    CustomerQuantityRevenue COGS    Profit]],0)*1</f>
        <v>9585</v>
      </c>
      <c r="C97" s="4">
        <f>GLW(TRIM(Table1[[#This Row],[Region  Product Date    CustomerQuantityRevenue COGS    Profit]]),2)*1</f>
        <v>18783</v>
      </c>
      <c r="D97" s="4" t="str">
        <f>_xlfn.CONCAT(Table1[[#This Row],[Region  Product Date    CustomerQuantityRevenue COGS    Profit]],Table1[[#This Row],[PENDING]],Table1[[#This Row],[SEARCHING FOR]])</f>
        <v>500011250XYZ     10/7/200LMN PTY      900   18783    9198    9585958518783</v>
      </c>
      <c r="E97" s="5">
        <f>SUM($C$2:C97)</f>
        <v>983048</v>
      </c>
      <c r="F97" s="3"/>
      <c r="G97" s="3"/>
    </row>
    <row r="98" spans="1:7" x14ac:dyDescent="0.25">
      <c r="A98" t="s">
        <v>101</v>
      </c>
      <c r="B98" s="4">
        <f>GLW(Table1[[#This Row],[Region  Product Date    CustomerQuantityRevenue COGS    Profit]],0)*1</f>
        <v>2162</v>
      </c>
      <c r="C98" s="4">
        <f>GLW(TRIM(Table1[[#This Row],[Region  Product Date    CustomerQuantityRevenue COGS    Profit]]),2)*1</f>
        <v>3856</v>
      </c>
      <c r="D98" s="4" t="str">
        <f>_xlfn.CONCAT(Table1[[#This Row],[Region  Product Date    CustomerQuantityRevenue COGS    Profit]],Table1[[#This Row],[PENDING]],Table1[[#This Row],[SEARCHING FOR]])</f>
        <v>500011251XYZ     10/8/200OPQ, INC     200    3856    1694    216221623856</v>
      </c>
      <c r="E98" s="5">
        <f>SUM($C$2:C98)</f>
        <v>986904</v>
      </c>
      <c r="F98" s="3"/>
      <c r="G98" s="3"/>
    </row>
    <row r="99" spans="1:7" x14ac:dyDescent="0.25">
      <c r="A99" t="s">
        <v>102</v>
      </c>
      <c r="B99" s="4">
        <f>GLW(Table1[[#This Row],[Region  Product Date    CustomerQuantityRevenue COGS    Profit]],0)*1</f>
        <v>6775</v>
      </c>
      <c r="C99" s="4">
        <f>GLW(TRIM(Table1[[#This Row],[Region  Product Date    CustomerQuantityRevenue COGS    Profit]]),2)*1</f>
        <v>11695</v>
      </c>
      <c r="D99" s="4" t="str">
        <f>_xlfn.CONCAT(Table1[[#This Row],[Region  Product Date    CustomerQuantityRevenue COGS    Profit]],Table1[[#This Row],[PENDING]],Table1[[#This Row],[SEARCHING FOR]])</f>
        <v>500011252   DEF     10/8/200EFG S.A.     500   11695    4920    6775677511695</v>
      </c>
      <c r="E99" s="5">
        <f>SUM($C$2:C99)</f>
        <v>998599</v>
      </c>
      <c r="F99" s="3"/>
      <c r="G99" s="3"/>
    </row>
    <row r="100" spans="1:7" x14ac:dyDescent="0.25">
      <c r="A100" t="s">
        <v>103</v>
      </c>
      <c r="B100" s="4">
        <f>GLW(Table1[[#This Row],[Region  Product Date    CustomerQuantityRevenue COGS    Profit]],0)*1</f>
        <v>1288</v>
      </c>
      <c r="C100" s="4">
        <f>GLW(TRIM(Table1[[#This Row],[Region  Product Date    CustomerQuantityRevenue COGS    Profit]]),2)*1</f>
        <v>2272</v>
      </c>
      <c r="D100" s="4" t="str">
        <f>_xlfn.CONCAT(Table1[[#This Row],[Region  Product Date    CustomerQuantityRevenue COGS    Profit]],Table1[[#This Row],[PENDING]],Table1[[#This Row],[SEARCHING FOR]])</f>
        <v>500011253   XYZ     10/9/200DEF, LLC     100    2272     984    128812882272</v>
      </c>
      <c r="E100" s="5">
        <f>SUM($C$2:C100)</f>
        <v>1000871</v>
      </c>
      <c r="F100" s="3"/>
      <c r="G100" s="3"/>
    </row>
    <row r="101" spans="1:7" x14ac:dyDescent="0.25">
      <c r="A101" t="s">
        <v>104</v>
      </c>
      <c r="B101" s="4">
        <f>GLW(Table1[[#This Row],[Region  Product Date    CustomerQuantityRevenue COGS    Profit]],0)*1</f>
        <v>9920</v>
      </c>
      <c r="C101" s="4">
        <f>GLW(TRIM(Table1[[#This Row],[Region  Product Date    CustomerQuantityRevenue COGS    Profit]]),2)*1</f>
        <v>16696</v>
      </c>
      <c r="D101" s="4" t="str">
        <f>_xlfn.CONCAT(Table1[[#This Row],[Region  Product Date    CustomerQuantityRevenue COGS    Profit]],Table1[[#This Row],[PENDING]],Table1[[#This Row],[SEARCHING FOR]])</f>
        <v>500011254ABC     10/9/200OPQ, INC     800   16696    6776    9920992016696</v>
      </c>
      <c r="E101" s="5">
        <f>SUM($C$2:C101)</f>
        <v>1017567</v>
      </c>
      <c r="F101" s="3"/>
      <c r="G101" s="3"/>
    </row>
    <row r="102" spans="1:7" x14ac:dyDescent="0.25">
      <c r="A102" t="s">
        <v>105</v>
      </c>
      <c r="B102" s="4">
        <f>GLW(Table1[[#This Row],[Region  Product Date    CustomerQuantityRevenue COGS    Profit]],0)*1</f>
        <v>1525</v>
      </c>
      <c r="C102" s="4">
        <f>GLW(TRIM(Table1[[#This Row],[Region  Product Date    CustomerQuantityRevenue COGS    Profit]]),2)*1</f>
        <v>2547</v>
      </c>
      <c r="D102" s="4" t="str">
        <f>_xlfn.CONCAT(Table1[[#This Row],[Region  Product Date    CustomerQuantityRevenue COGS    Profit]],Table1[[#This Row],[PENDING]],Table1[[#This Row],[SEARCHING FOR]])</f>
        <v>500011255   XYZ     10/9/200DEF, LLC     100    2547    1022    152515252547</v>
      </c>
      <c r="E102" s="5">
        <f>SUM($C$2:C102)</f>
        <v>1020114</v>
      </c>
      <c r="F102" s="3"/>
      <c r="G102" s="3"/>
    </row>
    <row r="103" spans="1:7" x14ac:dyDescent="0.25">
      <c r="A103" t="s">
        <v>106</v>
      </c>
      <c r="B103" s="4" t="e">
        <f>GLW(Table1[[#This Row],[Region  Product Date    CustomerQuantityRevenue COGS    Profit]],0)*1</f>
        <v>#VALUE!</v>
      </c>
      <c r="C103" s="4" t="e">
        <f>GLW(TRIM(Table1[[#This Row],[Region  Product Date    CustomerQuantityRevenue COGS    Profit]]),2)*1</f>
        <v>#VALUE!</v>
      </c>
      <c r="D103" s="4" t="e">
        <f>_xlfn.CONCAT(Table1[[#This Row],[Region  Product Date    CustomerQuantityRevenue COGS    Profit]],Table1[[#This Row],[PENDING]],Table1[[#This Row],[SEARCHING FOR]])</f>
        <v>#VALUE!</v>
      </c>
      <c r="E103" s="5" t="e">
        <f>SUM($C$2:C103)</f>
        <v>#VALUE!</v>
      </c>
      <c r="F103" s="3"/>
      <c r="G103" s="3"/>
    </row>
    <row r="104" spans="1:7" x14ac:dyDescent="0.25">
      <c r="E104" s="3"/>
      <c r="F104" s="3"/>
      <c r="G104" s="3"/>
    </row>
    <row r="105" spans="1:7" x14ac:dyDescent="0.25">
      <c r="E105" s="3"/>
      <c r="F105" s="3"/>
      <c r="G105" s="3"/>
    </row>
    <row r="106" spans="1:7" x14ac:dyDescent="0.25">
      <c r="E106" s="3"/>
      <c r="F106" s="3"/>
      <c r="G106" s="3"/>
    </row>
    <row r="107" spans="1:7" x14ac:dyDescent="0.25">
      <c r="E107" s="3"/>
      <c r="F107" s="3"/>
      <c r="G107" s="3"/>
    </row>
    <row r="108" spans="1:7" x14ac:dyDescent="0.25">
      <c r="E108" s="3"/>
      <c r="F108" s="3"/>
      <c r="G108" s="3"/>
    </row>
    <row r="109" spans="1:7" x14ac:dyDescent="0.25">
      <c r="E109" s="3"/>
      <c r="F109" s="3"/>
      <c r="G109" s="3"/>
    </row>
    <row r="110" spans="1:7" x14ac:dyDescent="0.25">
      <c r="E110" s="3"/>
      <c r="F110" s="3"/>
      <c r="G110" s="3"/>
    </row>
    <row r="111" spans="1:7" x14ac:dyDescent="0.25">
      <c r="E111" s="3"/>
      <c r="F111" s="3"/>
      <c r="G111" s="3"/>
    </row>
    <row r="112" spans="1:7" x14ac:dyDescent="0.25">
      <c r="E112" s="3"/>
      <c r="F112" s="3"/>
      <c r="G112" s="3"/>
    </row>
    <row r="113" spans="5:7" x14ac:dyDescent="0.25">
      <c r="E113" s="3"/>
      <c r="F113" s="3"/>
      <c r="G113" s="3"/>
    </row>
    <row r="114" spans="5:7" x14ac:dyDescent="0.25">
      <c r="E114" s="3"/>
      <c r="F114" s="3"/>
      <c r="G114" s="3"/>
    </row>
    <row r="115" spans="5:7" x14ac:dyDescent="0.25">
      <c r="E115" s="3"/>
      <c r="F115" s="3"/>
      <c r="G115" s="3"/>
    </row>
    <row r="116" spans="5:7" x14ac:dyDescent="0.25">
      <c r="E116" s="3"/>
      <c r="F116" s="3"/>
      <c r="G116" s="3"/>
    </row>
    <row r="117" spans="5:7" x14ac:dyDescent="0.25">
      <c r="E117" s="3"/>
      <c r="F117" s="3"/>
      <c r="G117" s="3"/>
    </row>
    <row r="118" spans="5:7" x14ac:dyDescent="0.25">
      <c r="E118" s="3"/>
      <c r="F118" s="3"/>
      <c r="G118" s="3"/>
    </row>
    <row r="119" spans="5:7" x14ac:dyDescent="0.25">
      <c r="E119" s="3"/>
      <c r="F119" s="3"/>
      <c r="G119" s="3"/>
    </row>
    <row r="120" spans="5:7" x14ac:dyDescent="0.25">
      <c r="E120" s="3"/>
      <c r="F120" s="3"/>
      <c r="G120" s="3"/>
    </row>
    <row r="121" spans="5:7" x14ac:dyDescent="0.25">
      <c r="E121" s="3"/>
      <c r="F121" s="3"/>
      <c r="G121" s="3"/>
    </row>
    <row r="122" spans="5:7" x14ac:dyDescent="0.25">
      <c r="E122" s="3"/>
      <c r="F122" s="3"/>
      <c r="G122" s="3"/>
    </row>
    <row r="123" spans="5:7" x14ac:dyDescent="0.25">
      <c r="E123" s="3"/>
      <c r="F123" s="3"/>
      <c r="G123" s="3"/>
    </row>
    <row r="124" spans="5:7" x14ac:dyDescent="0.25">
      <c r="E124" s="3"/>
      <c r="F124" s="3"/>
      <c r="G124" s="3"/>
    </row>
    <row r="125" spans="5:7" x14ac:dyDescent="0.25">
      <c r="E125" s="3"/>
      <c r="F125" s="3"/>
      <c r="G125" s="3"/>
    </row>
    <row r="126" spans="5:7" x14ac:dyDescent="0.25">
      <c r="E126" s="3"/>
      <c r="F126" s="3"/>
      <c r="G126" s="3"/>
    </row>
    <row r="127" spans="5:7" x14ac:dyDescent="0.25">
      <c r="E127" s="3"/>
      <c r="F127" s="3"/>
      <c r="G127" s="3"/>
    </row>
    <row r="128" spans="5:7" x14ac:dyDescent="0.25">
      <c r="E128" s="3"/>
      <c r="F128" s="3"/>
      <c r="G128" s="3"/>
    </row>
    <row r="129" spans="5:7" x14ac:dyDescent="0.25">
      <c r="E129" s="3"/>
      <c r="F129" s="3"/>
      <c r="G129" s="3"/>
    </row>
    <row r="130" spans="5:7" x14ac:dyDescent="0.25">
      <c r="E130" s="3"/>
      <c r="F130" s="3"/>
      <c r="G130" s="3"/>
    </row>
    <row r="131" spans="5:7" x14ac:dyDescent="0.25">
      <c r="E131" s="3"/>
      <c r="F131" s="3"/>
      <c r="G131" s="3"/>
    </row>
    <row r="132" spans="5:7" x14ac:dyDescent="0.25">
      <c r="E132" s="3"/>
      <c r="F132" s="3"/>
      <c r="G132" s="3"/>
    </row>
    <row r="133" spans="5:7" x14ac:dyDescent="0.25">
      <c r="E133" s="3"/>
      <c r="F133" s="3"/>
      <c r="G133" s="3"/>
    </row>
    <row r="134" spans="5:7" x14ac:dyDescent="0.25">
      <c r="E134" s="3"/>
      <c r="F134" s="3"/>
      <c r="G134" s="3"/>
    </row>
    <row r="135" spans="5:7" x14ac:dyDescent="0.25">
      <c r="E135" s="3"/>
      <c r="F135" s="3"/>
      <c r="G135" s="3"/>
    </row>
    <row r="136" spans="5:7" x14ac:dyDescent="0.25">
      <c r="E136" s="3"/>
      <c r="F136" s="2">
        <f>SUM(F$2:F135)</f>
        <v>0</v>
      </c>
      <c r="G136" s="2">
        <f>SUM(G$2:G135)</f>
        <v>0</v>
      </c>
    </row>
    <row r="137" spans="5:7" x14ac:dyDescent="0.25">
      <c r="E137" s="3"/>
    </row>
    <row r="138" spans="5:7" x14ac:dyDescent="0.25">
      <c r="E138" s="3"/>
    </row>
    <row r="139" spans="5:7" x14ac:dyDescent="0.25">
      <c r="E139" s="3"/>
    </row>
    <row r="140" spans="5:7" x14ac:dyDescent="0.25">
      <c r="E140" s="3"/>
    </row>
    <row r="141" spans="5:7" x14ac:dyDescent="0.25">
      <c r="E141" s="3"/>
    </row>
    <row r="142" spans="5:7" x14ac:dyDescent="0.25">
      <c r="E142" s="3"/>
    </row>
    <row r="143" spans="5:7" x14ac:dyDescent="0.25">
      <c r="E143" s="3"/>
    </row>
    <row r="144" spans="5:7" x14ac:dyDescent="0.25">
      <c r="E144" s="3"/>
    </row>
    <row r="145" spans="5:5" x14ac:dyDescent="0.25">
      <c r="E145" s="3"/>
    </row>
    <row r="146" spans="5:5" x14ac:dyDescent="0.25">
      <c r="E146" s="3"/>
    </row>
    <row r="147" spans="5:5" x14ac:dyDescent="0.25">
      <c r="E147" s="3"/>
    </row>
    <row r="148" spans="5:5" x14ac:dyDescent="0.25">
      <c r="E148" s="3"/>
    </row>
    <row r="149" spans="5:5" x14ac:dyDescent="0.25">
      <c r="E149" s="3"/>
    </row>
    <row r="150" spans="5:5" x14ac:dyDescent="0.25">
      <c r="E150" s="3"/>
    </row>
    <row r="151" spans="5:5" x14ac:dyDescent="0.25">
      <c r="E151" s="3"/>
    </row>
    <row r="152" spans="5:5" x14ac:dyDescent="0.25">
      <c r="E152" s="3"/>
    </row>
    <row r="153" spans="5:5" x14ac:dyDescent="0.25">
      <c r="E153" s="3"/>
    </row>
    <row r="154" spans="5:5" x14ac:dyDescent="0.25">
      <c r="E154" s="3"/>
    </row>
    <row r="155" spans="5:5" x14ac:dyDescent="0.25">
      <c r="E155" s="3"/>
    </row>
    <row r="156" spans="5:5" x14ac:dyDescent="0.25">
      <c r="E156" s="3"/>
    </row>
    <row r="157" spans="5:5" x14ac:dyDescent="0.25">
      <c r="E157" s="3"/>
    </row>
    <row r="158" spans="5:5" x14ac:dyDescent="0.25">
      <c r="E158" s="3"/>
    </row>
    <row r="159" spans="5:5" x14ac:dyDescent="0.25">
      <c r="E159" s="3"/>
    </row>
    <row r="160" spans="5:5" x14ac:dyDescent="0.25">
      <c r="E160" s="3"/>
    </row>
    <row r="161" spans="5:5" x14ac:dyDescent="0.25">
      <c r="E161" s="3"/>
    </row>
    <row r="162" spans="5:5" x14ac:dyDescent="0.25">
      <c r="E162" s="3"/>
    </row>
    <row r="163" spans="5:5" x14ac:dyDescent="0.25">
      <c r="E163" s="3"/>
    </row>
    <row r="164" spans="5:5" x14ac:dyDescent="0.25">
      <c r="E164" s="3"/>
    </row>
    <row r="165" spans="5:5" x14ac:dyDescent="0.25">
      <c r="E165" s="3"/>
    </row>
    <row r="166" spans="5:5" x14ac:dyDescent="0.25">
      <c r="E166" s="3"/>
    </row>
    <row r="167" spans="5:5" x14ac:dyDescent="0.25">
      <c r="E167" s="3"/>
    </row>
    <row r="168" spans="5:5" x14ac:dyDescent="0.25">
      <c r="E168" s="3"/>
    </row>
    <row r="169" spans="5:5" x14ac:dyDescent="0.25">
      <c r="E169" s="3"/>
    </row>
    <row r="170" spans="5:5" x14ac:dyDescent="0.25">
      <c r="E170" s="3"/>
    </row>
    <row r="171" spans="5:5" x14ac:dyDescent="0.25">
      <c r="E171" s="3"/>
    </row>
    <row r="172" spans="5:5" x14ac:dyDescent="0.25">
      <c r="E172" s="3"/>
    </row>
    <row r="173" spans="5:5" x14ac:dyDescent="0.25">
      <c r="E173" s="3"/>
    </row>
    <row r="174" spans="5:5" x14ac:dyDescent="0.25">
      <c r="E174" s="3"/>
    </row>
    <row r="175" spans="5:5" x14ac:dyDescent="0.25">
      <c r="E175" s="3"/>
    </row>
    <row r="176" spans="5:5" x14ac:dyDescent="0.25">
      <c r="E176" s="3"/>
    </row>
    <row r="177" spans="5:5" x14ac:dyDescent="0.25">
      <c r="E177" s="3"/>
    </row>
    <row r="178" spans="5:5" x14ac:dyDescent="0.25">
      <c r="E178" s="3"/>
    </row>
    <row r="179" spans="5:5" x14ac:dyDescent="0.25">
      <c r="E179" s="3"/>
    </row>
    <row r="180" spans="5:5" x14ac:dyDescent="0.25">
      <c r="E180" s="3"/>
    </row>
    <row r="181" spans="5:5" x14ac:dyDescent="0.25">
      <c r="E181" s="3"/>
    </row>
    <row r="182" spans="5:5" x14ac:dyDescent="0.25">
      <c r="E182" s="3"/>
    </row>
    <row r="183" spans="5:5" x14ac:dyDescent="0.25">
      <c r="E183" s="3"/>
    </row>
    <row r="184" spans="5:5" x14ac:dyDescent="0.25">
      <c r="E184" s="3"/>
    </row>
    <row r="185" spans="5:5" x14ac:dyDescent="0.25">
      <c r="E185" s="3"/>
    </row>
    <row r="186" spans="5:5" x14ac:dyDescent="0.25">
      <c r="E186" s="3"/>
    </row>
    <row r="187" spans="5:5" x14ac:dyDescent="0.25">
      <c r="E187" s="3"/>
    </row>
    <row r="188" spans="5:5" x14ac:dyDescent="0.25">
      <c r="E188" s="3"/>
    </row>
    <row r="189" spans="5:5" x14ac:dyDescent="0.25">
      <c r="E189" s="3"/>
    </row>
    <row r="190" spans="5:5" x14ac:dyDescent="0.25">
      <c r="E190" s="3"/>
    </row>
    <row r="191" spans="5:5" x14ac:dyDescent="0.25">
      <c r="E191" s="3"/>
    </row>
    <row r="192" spans="5:5" x14ac:dyDescent="0.25">
      <c r="E192" s="3"/>
    </row>
    <row r="193" spans="5:5" x14ac:dyDescent="0.25">
      <c r="E193" s="3"/>
    </row>
    <row r="194" spans="5:5" x14ac:dyDescent="0.25">
      <c r="E194" s="3"/>
    </row>
    <row r="195" spans="5:5" x14ac:dyDescent="0.25">
      <c r="E195" s="3"/>
    </row>
    <row r="196" spans="5:5" x14ac:dyDescent="0.25">
      <c r="E196" s="3"/>
    </row>
    <row r="197" spans="5:5" x14ac:dyDescent="0.25">
      <c r="E197" s="3"/>
    </row>
    <row r="198" spans="5:5" x14ac:dyDescent="0.25">
      <c r="E198" s="3"/>
    </row>
    <row r="199" spans="5:5" x14ac:dyDescent="0.25">
      <c r="E199" s="3"/>
    </row>
    <row r="200" spans="5:5" x14ac:dyDescent="0.25">
      <c r="E200" s="3"/>
    </row>
    <row r="201" spans="5:5" x14ac:dyDescent="0.25">
      <c r="E201" s="3"/>
    </row>
    <row r="202" spans="5:5" x14ac:dyDescent="0.25">
      <c r="E202" s="3"/>
    </row>
    <row r="203" spans="5:5" x14ac:dyDescent="0.25">
      <c r="E203" s="3"/>
    </row>
    <row r="204" spans="5:5" x14ac:dyDescent="0.25">
      <c r="E204" s="3"/>
    </row>
    <row r="205" spans="5:5" x14ac:dyDescent="0.25">
      <c r="E205" s="3"/>
    </row>
    <row r="206" spans="5:5" x14ac:dyDescent="0.25">
      <c r="E206" s="3"/>
    </row>
    <row r="207" spans="5:5" x14ac:dyDescent="0.25">
      <c r="E207" s="3"/>
    </row>
    <row r="208" spans="5:5" x14ac:dyDescent="0.25">
      <c r="E208" s="3"/>
    </row>
    <row r="209" spans="5:5" x14ac:dyDescent="0.25">
      <c r="E209" s="3"/>
    </row>
    <row r="210" spans="5:5" x14ac:dyDescent="0.25">
      <c r="E210" s="3"/>
    </row>
    <row r="211" spans="5:5" x14ac:dyDescent="0.25">
      <c r="E211" s="3"/>
    </row>
    <row r="212" spans="5:5" x14ac:dyDescent="0.25">
      <c r="E212" s="3"/>
    </row>
    <row r="213" spans="5:5" x14ac:dyDescent="0.25">
      <c r="E213" s="3"/>
    </row>
    <row r="214" spans="5:5" x14ac:dyDescent="0.25">
      <c r="E214" s="3"/>
    </row>
    <row r="215" spans="5:5" x14ac:dyDescent="0.25">
      <c r="E215" s="3"/>
    </row>
    <row r="216" spans="5:5" x14ac:dyDescent="0.25">
      <c r="E216" s="3"/>
    </row>
    <row r="217" spans="5:5" x14ac:dyDescent="0.25">
      <c r="E217" s="3"/>
    </row>
    <row r="218" spans="5:5" x14ac:dyDescent="0.25">
      <c r="E218" s="3"/>
    </row>
    <row r="219" spans="5:5" x14ac:dyDescent="0.25">
      <c r="E219" s="3"/>
    </row>
    <row r="220" spans="5:5" x14ac:dyDescent="0.25">
      <c r="E220" s="3"/>
    </row>
    <row r="221" spans="5:5" x14ac:dyDescent="0.25">
      <c r="E221" s="3"/>
    </row>
    <row r="222" spans="5:5" x14ac:dyDescent="0.25">
      <c r="E222" s="3"/>
    </row>
    <row r="223" spans="5:5" x14ac:dyDescent="0.25">
      <c r="E223" s="3"/>
    </row>
    <row r="224" spans="5:5" x14ac:dyDescent="0.25">
      <c r="E224" s="3"/>
    </row>
    <row r="225" spans="2:5" x14ac:dyDescent="0.25">
      <c r="E225" s="3"/>
    </row>
    <row r="226" spans="2:5" x14ac:dyDescent="0.25">
      <c r="E226" s="3"/>
    </row>
    <row r="227" spans="2:5" x14ac:dyDescent="0.25">
      <c r="B227" s="1"/>
      <c r="C227" s="1"/>
      <c r="D227" s="1"/>
      <c r="E227" s="2" t="e">
        <f>SUM(E$2:E226)</f>
        <v>#VALUE!</v>
      </c>
    </row>
  </sheetData>
  <pageMargins left="0.75" right="0.75" top="1" bottom="1" header="0.5" footer="0.5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4"/>
  <sheetViews>
    <sheetView workbookViewId="0">
      <selection activeCell="H5" sqref="H5:I37"/>
    </sheetView>
  </sheetViews>
  <sheetFormatPr defaultRowHeight="15" x14ac:dyDescent="0.25"/>
  <cols>
    <col min="1" max="1" width="59.42578125" bestFit="1" customWidth="1"/>
  </cols>
  <sheetData>
    <row r="1" spans="1:8" x14ac:dyDescent="0.25">
      <c r="A1" t="s">
        <v>107</v>
      </c>
      <c r="H1" t="s">
        <v>5</v>
      </c>
    </row>
    <row r="2" spans="1:8" x14ac:dyDescent="0.25">
      <c r="A2" t="s">
        <v>5</v>
      </c>
      <c r="H2" t="s">
        <v>6</v>
      </c>
    </row>
    <row r="3" spans="1:8" x14ac:dyDescent="0.25">
      <c r="A3" t="s">
        <v>6</v>
      </c>
      <c r="H3" t="s">
        <v>7</v>
      </c>
    </row>
    <row r="4" spans="1:8" x14ac:dyDescent="0.25">
      <c r="A4" t="s">
        <v>7</v>
      </c>
      <c r="H4" t="s">
        <v>8</v>
      </c>
    </row>
    <row r="5" spans="1:8" x14ac:dyDescent="0.25">
      <c r="A5" t="s">
        <v>8</v>
      </c>
      <c r="H5" t="s">
        <v>9</v>
      </c>
    </row>
    <row r="6" spans="1:8" x14ac:dyDescent="0.25">
      <c r="A6" t="s">
        <v>9</v>
      </c>
      <c r="H6" t="s">
        <v>10</v>
      </c>
    </row>
    <row r="7" spans="1:8" x14ac:dyDescent="0.25">
      <c r="A7" t="s">
        <v>10</v>
      </c>
      <c r="H7" t="s">
        <v>11</v>
      </c>
    </row>
    <row r="8" spans="1:8" x14ac:dyDescent="0.25">
      <c r="A8" t="s">
        <v>11</v>
      </c>
      <c r="H8" t="s">
        <v>12</v>
      </c>
    </row>
    <row r="9" spans="1:8" x14ac:dyDescent="0.25">
      <c r="A9" t="s">
        <v>12</v>
      </c>
      <c r="H9" t="s">
        <v>13</v>
      </c>
    </row>
    <row r="10" spans="1:8" x14ac:dyDescent="0.25">
      <c r="A10" t="s">
        <v>13</v>
      </c>
      <c r="H10" t="s">
        <v>14</v>
      </c>
    </row>
    <row r="11" spans="1:8" x14ac:dyDescent="0.25">
      <c r="A11" t="s">
        <v>14</v>
      </c>
      <c r="H11" t="s">
        <v>15</v>
      </c>
    </row>
    <row r="12" spans="1:8" x14ac:dyDescent="0.25">
      <c r="A12" t="s">
        <v>15</v>
      </c>
      <c r="H12" t="s">
        <v>16</v>
      </c>
    </row>
    <row r="13" spans="1:8" x14ac:dyDescent="0.25">
      <c r="A13" t="s">
        <v>16</v>
      </c>
      <c r="H13" t="s">
        <v>17</v>
      </c>
    </row>
    <row r="14" spans="1:8" x14ac:dyDescent="0.25">
      <c r="A14" t="s">
        <v>17</v>
      </c>
      <c r="H14" t="s">
        <v>18</v>
      </c>
    </row>
    <row r="15" spans="1:8" x14ac:dyDescent="0.25">
      <c r="A15" t="s">
        <v>18</v>
      </c>
      <c r="H15" t="s">
        <v>19</v>
      </c>
    </row>
    <row r="16" spans="1:8" x14ac:dyDescent="0.25">
      <c r="A16" t="s">
        <v>19</v>
      </c>
      <c r="H16" t="s">
        <v>20</v>
      </c>
    </row>
    <row r="17" spans="1:8" x14ac:dyDescent="0.25">
      <c r="A17" t="s">
        <v>20</v>
      </c>
      <c r="H17" t="s">
        <v>21</v>
      </c>
    </row>
    <row r="18" spans="1:8" x14ac:dyDescent="0.25">
      <c r="A18" t="s">
        <v>21</v>
      </c>
      <c r="H18" t="s">
        <v>22</v>
      </c>
    </row>
    <row r="19" spans="1:8" x14ac:dyDescent="0.25">
      <c r="A19" t="s">
        <v>22</v>
      </c>
      <c r="H19" t="s">
        <v>23</v>
      </c>
    </row>
    <row r="20" spans="1:8" x14ac:dyDescent="0.25">
      <c r="A20" t="s">
        <v>23</v>
      </c>
      <c r="H20" t="s">
        <v>24</v>
      </c>
    </row>
    <row r="21" spans="1:8" x14ac:dyDescent="0.25">
      <c r="A21" t="s">
        <v>24</v>
      </c>
      <c r="H21" t="s">
        <v>25</v>
      </c>
    </row>
    <row r="22" spans="1:8" x14ac:dyDescent="0.25">
      <c r="A22" t="s">
        <v>25</v>
      </c>
      <c r="H22" t="s">
        <v>26</v>
      </c>
    </row>
    <row r="23" spans="1:8" x14ac:dyDescent="0.25">
      <c r="A23" t="s">
        <v>26</v>
      </c>
      <c r="H23" t="s">
        <v>27</v>
      </c>
    </row>
    <row r="24" spans="1:8" x14ac:dyDescent="0.25">
      <c r="A24" t="s">
        <v>27</v>
      </c>
      <c r="H24" t="s">
        <v>28</v>
      </c>
    </row>
    <row r="25" spans="1:8" x14ac:dyDescent="0.25">
      <c r="A25" t="s">
        <v>28</v>
      </c>
      <c r="H25" t="s">
        <v>29</v>
      </c>
    </row>
    <row r="26" spans="1:8" x14ac:dyDescent="0.25">
      <c r="A26" t="s">
        <v>29</v>
      </c>
      <c r="H26" t="s">
        <v>30</v>
      </c>
    </row>
    <row r="27" spans="1:8" x14ac:dyDescent="0.25">
      <c r="A27" t="s">
        <v>30</v>
      </c>
      <c r="H27" t="s">
        <v>31</v>
      </c>
    </row>
    <row r="28" spans="1:8" x14ac:dyDescent="0.25">
      <c r="A28" t="s">
        <v>31</v>
      </c>
      <c r="H28" t="s">
        <v>32</v>
      </c>
    </row>
    <row r="29" spans="1:8" x14ac:dyDescent="0.25">
      <c r="A29" t="s">
        <v>32</v>
      </c>
      <c r="H29" t="s">
        <v>33</v>
      </c>
    </row>
    <row r="30" spans="1:8" x14ac:dyDescent="0.25">
      <c r="A30" t="s">
        <v>33</v>
      </c>
      <c r="H30" t="s">
        <v>34</v>
      </c>
    </row>
    <row r="31" spans="1:8" x14ac:dyDescent="0.25">
      <c r="A31" t="s">
        <v>34</v>
      </c>
      <c r="H31" t="s">
        <v>35</v>
      </c>
    </row>
    <row r="32" spans="1:8" x14ac:dyDescent="0.25">
      <c r="A32" t="s">
        <v>35</v>
      </c>
      <c r="H32" t="s">
        <v>36</v>
      </c>
    </row>
    <row r="33" spans="1:8" x14ac:dyDescent="0.25">
      <c r="A33" t="s">
        <v>36</v>
      </c>
      <c r="H33" t="s">
        <v>37</v>
      </c>
    </row>
    <row r="34" spans="1:8" x14ac:dyDescent="0.25">
      <c r="A34" t="s">
        <v>37</v>
      </c>
      <c r="H34" t="s">
        <v>38</v>
      </c>
    </row>
    <row r="35" spans="1:8" x14ac:dyDescent="0.25">
      <c r="A35" t="s">
        <v>38</v>
      </c>
      <c r="H35" t="s">
        <v>39</v>
      </c>
    </row>
    <row r="36" spans="1:8" x14ac:dyDescent="0.25">
      <c r="A36" t="s">
        <v>39</v>
      </c>
      <c r="H36" t="s">
        <v>40</v>
      </c>
    </row>
    <row r="37" spans="1:8" x14ac:dyDescent="0.25">
      <c r="A37" t="s">
        <v>40</v>
      </c>
      <c r="H37" t="s">
        <v>41</v>
      </c>
    </row>
    <row r="38" spans="1:8" x14ac:dyDescent="0.25">
      <c r="A38" t="s">
        <v>41</v>
      </c>
      <c r="H38" t="s">
        <v>42</v>
      </c>
    </row>
    <row r="39" spans="1:8" x14ac:dyDescent="0.25">
      <c r="A39" t="s">
        <v>42</v>
      </c>
      <c r="H39" t="s">
        <v>43</v>
      </c>
    </row>
    <row r="40" spans="1:8" x14ac:dyDescent="0.25">
      <c r="A40" t="s">
        <v>43</v>
      </c>
      <c r="H40" t="s">
        <v>44</v>
      </c>
    </row>
    <row r="41" spans="1:8" x14ac:dyDescent="0.25">
      <c r="A41" t="s">
        <v>44</v>
      </c>
      <c r="H41" t="s">
        <v>45</v>
      </c>
    </row>
    <row r="42" spans="1:8" x14ac:dyDescent="0.25">
      <c r="A42" t="s">
        <v>45</v>
      </c>
      <c r="H42" t="s">
        <v>46</v>
      </c>
    </row>
    <row r="43" spans="1:8" x14ac:dyDescent="0.25">
      <c r="A43" t="s">
        <v>46</v>
      </c>
      <c r="H43" t="s">
        <v>47</v>
      </c>
    </row>
    <row r="44" spans="1:8" x14ac:dyDescent="0.25">
      <c r="A44" t="s">
        <v>47</v>
      </c>
      <c r="H44" t="s">
        <v>48</v>
      </c>
    </row>
    <row r="45" spans="1:8" x14ac:dyDescent="0.25">
      <c r="A45" t="s">
        <v>48</v>
      </c>
      <c r="H45" t="s">
        <v>49</v>
      </c>
    </row>
    <row r="46" spans="1:8" x14ac:dyDescent="0.25">
      <c r="A46" t="s">
        <v>49</v>
      </c>
      <c r="H46" t="s">
        <v>50</v>
      </c>
    </row>
    <row r="47" spans="1:8" x14ac:dyDescent="0.25">
      <c r="A47" t="s">
        <v>50</v>
      </c>
      <c r="H47" t="s">
        <v>51</v>
      </c>
    </row>
    <row r="48" spans="1:8" x14ac:dyDescent="0.25">
      <c r="A48" t="s">
        <v>51</v>
      </c>
      <c r="H48" t="s">
        <v>52</v>
      </c>
    </row>
    <row r="49" spans="1:8" x14ac:dyDescent="0.25">
      <c r="A49" t="s">
        <v>52</v>
      </c>
      <c r="H49" t="s">
        <v>53</v>
      </c>
    </row>
    <row r="50" spans="1:8" x14ac:dyDescent="0.25">
      <c r="A50" t="s">
        <v>53</v>
      </c>
      <c r="H50" t="s">
        <v>54</v>
      </c>
    </row>
    <row r="51" spans="1:8" x14ac:dyDescent="0.25">
      <c r="A51" t="s">
        <v>54</v>
      </c>
      <c r="H51" t="s">
        <v>55</v>
      </c>
    </row>
    <row r="52" spans="1:8" x14ac:dyDescent="0.25">
      <c r="A52" t="s">
        <v>55</v>
      </c>
      <c r="H52" t="s">
        <v>56</v>
      </c>
    </row>
    <row r="53" spans="1:8" x14ac:dyDescent="0.25">
      <c r="A53" t="s">
        <v>56</v>
      </c>
      <c r="H53" t="s">
        <v>57</v>
      </c>
    </row>
    <row r="54" spans="1:8" x14ac:dyDescent="0.25">
      <c r="A54" t="s">
        <v>57</v>
      </c>
      <c r="H54" t="s">
        <v>58</v>
      </c>
    </row>
    <row r="55" spans="1:8" x14ac:dyDescent="0.25">
      <c r="A55" t="s">
        <v>58</v>
      </c>
      <c r="H55" t="s">
        <v>59</v>
      </c>
    </row>
    <row r="56" spans="1:8" x14ac:dyDescent="0.25">
      <c r="A56" t="s">
        <v>59</v>
      </c>
      <c r="H56" t="s">
        <v>60</v>
      </c>
    </row>
    <row r="57" spans="1:8" x14ac:dyDescent="0.25">
      <c r="A57" t="s">
        <v>60</v>
      </c>
      <c r="H57" t="s">
        <v>61</v>
      </c>
    </row>
    <row r="58" spans="1:8" x14ac:dyDescent="0.25">
      <c r="A58" t="s">
        <v>61</v>
      </c>
      <c r="H58" t="s">
        <v>62</v>
      </c>
    </row>
    <row r="59" spans="1:8" x14ac:dyDescent="0.25">
      <c r="A59" t="s">
        <v>62</v>
      </c>
      <c r="H59" t="s">
        <v>63</v>
      </c>
    </row>
    <row r="60" spans="1:8" x14ac:dyDescent="0.25">
      <c r="A60" t="s">
        <v>63</v>
      </c>
      <c r="H60" t="s">
        <v>64</v>
      </c>
    </row>
    <row r="61" spans="1:8" x14ac:dyDescent="0.25">
      <c r="A61" t="s">
        <v>64</v>
      </c>
      <c r="H61" t="s">
        <v>65</v>
      </c>
    </row>
    <row r="62" spans="1:8" x14ac:dyDescent="0.25">
      <c r="A62" t="s">
        <v>65</v>
      </c>
      <c r="H62" t="s">
        <v>66</v>
      </c>
    </row>
    <row r="63" spans="1:8" x14ac:dyDescent="0.25">
      <c r="A63" t="s">
        <v>66</v>
      </c>
      <c r="H63" t="s">
        <v>67</v>
      </c>
    </row>
    <row r="64" spans="1:8" x14ac:dyDescent="0.25">
      <c r="A64" t="s">
        <v>67</v>
      </c>
      <c r="H64" t="s">
        <v>68</v>
      </c>
    </row>
    <row r="65" spans="1:8" x14ac:dyDescent="0.25">
      <c r="A65" t="s">
        <v>68</v>
      </c>
      <c r="H65" t="s">
        <v>69</v>
      </c>
    </row>
    <row r="66" spans="1:8" x14ac:dyDescent="0.25">
      <c r="A66" t="s">
        <v>69</v>
      </c>
      <c r="H66" t="s">
        <v>70</v>
      </c>
    </row>
    <row r="67" spans="1:8" x14ac:dyDescent="0.25">
      <c r="A67" t="s">
        <v>70</v>
      </c>
      <c r="H67" t="s">
        <v>71</v>
      </c>
    </row>
    <row r="68" spans="1:8" x14ac:dyDescent="0.25">
      <c r="A68" t="s">
        <v>71</v>
      </c>
      <c r="H68" t="s">
        <v>72</v>
      </c>
    </row>
    <row r="69" spans="1:8" x14ac:dyDescent="0.25">
      <c r="A69" t="s">
        <v>72</v>
      </c>
      <c r="H69" t="s">
        <v>73</v>
      </c>
    </row>
    <row r="70" spans="1:8" x14ac:dyDescent="0.25">
      <c r="A70" t="s">
        <v>73</v>
      </c>
      <c r="H70" t="s">
        <v>74</v>
      </c>
    </row>
    <row r="71" spans="1:8" x14ac:dyDescent="0.25">
      <c r="A71" t="s">
        <v>74</v>
      </c>
      <c r="H71" t="s">
        <v>75</v>
      </c>
    </row>
    <row r="72" spans="1:8" x14ac:dyDescent="0.25">
      <c r="A72" t="s">
        <v>75</v>
      </c>
      <c r="H72" t="s">
        <v>76</v>
      </c>
    </row>
    <row r="73" spans="1:8" x14ac:dyDescent="0.25">
      <c r="A73" t="s">
        <v>76</v>
      </c>
      <c r="H73" t="s">
        <v>77</v>
      </c>
    </row>
    <row r="74" spans="1:8" x14ac:dyDescent="0.25">
      <c r="A74" t="s">
        <v>77</v>
      </c>
      <c r="H74" t="s">
        <v>78</v>
      </c>
    </row>
    <row r="75" spans="1:8" x14ac:dyDescent="0.25">
      <c r="A75" t="s">
        <v>78</v>
      </c>
      <c r="H75" t="s">
        <v>79</v>
      </c>
    </row>
    <row r="76" spans="1:8" x14ac:dyDescent="0.25">
      <c r="A76" t="s">
        <v>79</v>
      </c>
      <c r="H76" t="s">
        <v>80</v>
      </c>
    </row>
    <row r="77" spans="1:8" x14ac:dyDescent="0.25">
      <c r="A77" t="s">
        <v>80</v>
      </c>
      <c r="H77" t="s">
        <v>81</v>
      </c>
    </row>
    <row r="78" spans="1:8" x14ac:dyDescent="0.25">
      <c r="A78" t="s">
        <v>81</v>
      </c>
      <c r="H78" t="s">
        <v>82</v>
      </c>
    </row>
    <row r="79" spans="1:8" x14ac:dyDescent="0.25">
      <c r="A79" t="s">
        <v>82</v>
      </c>
      <c r="H79" t="s">
        <v>83</v>
      </c>
    </row>
    <row r="80" spans="1:8" x14ac:dyDescent="0.25">
      <c r="A80" t="s">
        <v>83</v>
      </c>
      <c r="H80" t="s">
        <v>84</v>
      </c>
    </row>
    <row r="81" spans="1:8" x14ac:dyDescent="0.25">
      <c r="A81" t="s">
        <v>84</v>
      </c>
      <c r="H81" t="s">
        <v>85</v>
      </c>
    </row>
    <row r="82" spans="1:8" x14ac:dyDescent="0.25">
      <c r="A82" t="s">
        <v>85</v>
      </c>
      <c r="H82" t="s">
        <v>86</v>
      </c>
    </row>
    <row r="83" spans="1:8" x14ac:dyDescent="0.25">
      <c r="A83" t="s">
        <v>86</v>
      </c>
      <c r="H83" t="s">
        <v>87</v>
      </c>
    </row>
    <row r="84" spans="1:8" x14ac:dyDescent="0.25">
      <c r="A84" t="s">
        <v>87</v>
      </c>
      <c r="H84" t="s">
        <v>88</v>
      </c>
    </row>
    <row r="85" spans="1:8" x14ac:dyDescent="0.25">
      <c r="A85" t="s">
        <v>88</v>
      </c>
      <c r="H85" t="s">
        <v>89</v>
      </c>
    </row>
    <row r="86" spans="1:8" x14ac:dyDescent="0.25">
      <c r="A86" t="s">
        <v>89</v>
      </c>
      <c r="H86" t="s">
        <v>90</v>
      </c>
    </row>
    <row r="87" spans="1:8" x14ac:dyDescent="0.25">
      <c r="A87" t="s">
        <v>90</v>
      </c>
      <c r="H87" t="s">
        <v>91</v>
      </c>
    </row>
    <row r="88" spans="1:8" x14ac:dyDescent="0.25">
      <c r="A88" t="s">
        <v>91</v>
      </c>
      <c r="H88" t="s">
        <v>92</v>
      </c>
    </row>
    <row r="89" spans="1:8" x14ac:dyDescent="0.25">
      <c r="A89" t="s">
        <v>92</v>
      </c>
      <c r="H89" t="s">
        <v>93</v>
      </c>
    </row>
    <row r="90" spans="1:8" x14ac:dyDescent="0.25">
      <c r="A90" t="s">
        <v>93</v>
      </c>
      <c r="H90" t="s">
        <v>94</v>
      </c>
    </row>
    <row r="91" spans="1:8" x14ac:dyDescent="0.25">
      <c r="A91" t="s">
        <v>94</v>
      </c>
      <c r="H91" t="s">
        <v>95</v>
      </c>
    </row>
    <row r="92" spans="1:8" x14ac:dyDescent="0.25">
      <c r="A92" t="s">
        <v>95</v>
      </c>
      <c r="H92" t="s">
        <v>96</v>
      </c>
    </row>
    <row r="93" spans="1:8" x14ac:dyDescent="0.25">
      <c r="A93" t="s">
        <v>96</v>
      </c>
      <c r="H93" t="s">
        <v>97</v>
      </c>
    </row>
    <row r="94" spans="1:8" x14ac:dyDescent="0.25">
      <c r="A94" t="s">
        <v>97</v>
      </c>
      <c r="H94" t="s">
        <v>98</v>
      </c>
    </row>
    <row r="95" spans="1:8" x14ac:dyDescent="0.25">
      <c r="A95" t="s">
        <v>98</v>
      </c>
      <c r="H95" t="s">
        <v>99</v>
      </c>
    </row>
    <row r="96" spans="1:8" x14ac:dyDescent="0.25">
      <c r="A96" t="s">
        <v>99</v>
      </c>
      <c r="H96" t="s">
        <v>100</v>
      </c>
    </row>
    <row r="97" spans="1:8" x14ac:dyDescent="0.25">
      <c r="A97" t="s">
        <v>100</v>
      </c>
      <c r="H97" t="s">
        <v>101</v>
      </c>
    </row>
    <row r="98" spans="1:8" x14ac:dyDescent="0.25">
      <c r="A98" t="s">
        <v>101</v>
      </c>
      <c r="H98" t="s">
        <v>102</v>
      </c>
    </row>
    <row r="99" spans="1:8" x14ac:dyDescent="0.25">
      <c r="A99" t="s">
        <v>102</v>
      </c>
      <c r="H99" t="s">
        <v>103</v>
      </c>
    </row>
    <row r="100" spans="1:8" x14ac:dyDescent="0.25">
      <c r="A100" t="s">
        <v>103</v>
      </c>
      <c r="H100" t="s">
        <v>104</v>
      </c>
    </row>
    <row r="101" spans="1:8" x14ac:dyDescent="0.25">
      <c r="A101" t="s">
        <v>104</v>
      </c>
      <c r="H101" t="s">
        <v>105</v>
      </c>
    </row>
    <row r="102" spans="1:8" x14ac:dyDescent="0.25">
      <c r="A102" t="s">
        <v>105</v>
      </c>
      <c r="H102" t="s">
        <v>106</v>
      </c>
    </row>
    <row r="103" spans="1:8" x14ac:dyDescent="0.25">
      <c r="A103" s="1" t="s">
        <v>5</v>
      </c>
    </row>
    <row r="104" spans="1:8" x14ac:dyDescent="0.25">
      <c r="A104" t="s">
        <v>6</v>
      </c>
    </row>
    <row r="105" spans="1:8" x14ac:dyDescent="0.25">
      <c r="A105" t="s">
        <v>7</v>
      </c>
    </row>
    <row r="106" spans="1:8" x14ac:dyDescent="0.25">
      <c r="A106" t="s">
        <v>8</v>
      </c>
    </row>
    <row r="107" spans="1:8" x14ac:dyDescent="0.25">
      <c r="A107" t="s">
        <v>9</v>
      </c>
    </row>
    <row r="108" spans="1:8" x14ac:dyDescent="0.25">
      <c r="A108" t="s">
        <v>10</v>
      </c>
    </row>
    <row r="109" spans="1:8" x14ac:dyDescent="0.25">
      <c r="A109" t="s">
        <v>11</v>
      </c>
    </row>
    <row r="110" spans="1:8" x14ac:dyDescent="0.25">
      <c r="A110" t="s">
        <v>12</v>
      </c>
    </row>
    <row r="111" spans="1:8" x14ac:dyDescent="0.25">
      <c r="A111" t="s">
        <v>13</v>
      </c>
    </row>
    <row r="112" spans="1:8" x14ac:dyDescent="0.25">
      <c r="A112" t="s">
        <v>14</v>
      </c>
    </row>
    <row r="113" spans="1:1" x14ac:dyDescent="0.25">
      <c r="A113" t="s">
        <v>15</v>
      </c>
    </row>
    <row r="114" spans="1:1" x14ac:dyDescent="0.25">
      <c r="A114" t="s">
        <v>16</v>
      </c>
    </row>
    <row r="115" spans="1:1" x14ac:dyDescent="0.25">
      <c r="A115" t="s">
        <v>17</v>
      </c>
    </row>
    <row r="116" spans="1:1" x14ac:dyDescent="0.25">
      <c r="A116" t="s">
        <v>18</v>
      </c>
    </row>
    <row r="117" spans="1:1" x14ac:dyDescent="0.25">
      <c r="A117" t="s">
        <v>19</v>
      </c>
    </row>
    <row r="118" spans="1:1" x14ac:dyDescent="0.25">
      <c r="A118" t="s">
        <v>20</v>
      </c>
    </row>
    <row r="119" spans="1:1" x14ac:dyDescent="0.25">
      <c r="A119" t="s">
        <v>21</v>
      </c>
    </row>
    <row r="120" spans="1:1" x14ac:dyDescent="0.25">
      <c r="A120" t="s">
        <v>22</v>
      </c>
    </row>
    <row r="121" spans="1:1" x14ac:dyDescent="0.25">
      <c r="A121" t="s">
        <v>23</v>
      </c>
    </row>
    <row r="122" spans="1:1" x14ac:dyDescent="0.25">
      <c r="A122" t="s">
        <v>24</v>
      </c>
    </row>
    <row r="123" spans="1:1" x14ac:dyDescent="0.25">
      <c r="A123" t="s">
        <v>25</v>
      </c>
    </row>
    <row r="124" spans="1:1" x14ac:dyDescent="0.25">
      <c r="A124" t="s">
        <v>26</v>
      </c>
    </row>
    <row r="125" spans="1:1" x14ac:dyDescent="0.25">
      <c r="A125" t="s">
        <v>27</v>
      </c>
    </row>
    <row r="126" spans="1:1" x14ac:dyDescent="0.25">
      <c r="A126" t="s">
        <v>28</v>
      </c>
    </row>
    <row r="127" spans="1:1" x14ac:dyDescent="0.25">
      <c r="A127" t="s">
        <v>29</v>
      </c>
    </row>
    <row r="128" spans="1:1" x14ac:dyDescent="0.25">
      <c r="A128" t="s">
        <v>30</v>
      </c>
    </row>
    <row r="129" spans="1:1" x14ac:dyDescent="0.25">
      <c r="A129" t="s">
        <v>31</v>
      </c>
    </row>
    <row r="130" spans="1:1" x14ac:dyDescent="0.25">
      <c r="A130" t="s">
        <v>32</v>
      </c>
    </row>
    <row r="131" spans="1:1" x14ac:dyDescent="0.25">
      <c r="A131" t="s">
        <v>33</v>
      </c>
    </row>
    <row r="132" spans="1:1" x14ac:dyDescent="0.25">
      <c r="A132" t="s">
        <v>34</v>
      </c>
    </row>
    <row r="133" spans="1:1" x14ac:dyDescent="0.25">
      <c r="A133" t="s">
        <v>35</v>
      </c>
    </row>
    <row r="134" spans="1:1" x14ac:dyDescent="0.25">
      <c r="A134" t="s">
        <v>36</v>
      </c>
    </row>
    <row r="135" spans="1:1" x14ac:dyDescent="0.25">
      <c r="A135" t="s">
        <v>37</v>
      </c>
    </row>
    <row r="136" spans="1:1" x14ac:dyDescent="0.25">
      <c r="A136" t="s">
        <v>38</v>
      </c>
    </row>
    <row r="137" spans="1:1" x14ac:dyDescent="0.25">
      <c r="A137" t="s">
        <v>39</v>
      </c>
    </row>
    <row r="138" spans="1:1" x14ac:dyDescent="0.25">
      <c r="A138" t="s">
        <v>40</v>
      </c>
    </row>
    <row r="139" spans="1:1" x14ac:dyDescent="0.25">
      <c r="A139" t="s">
        <v>41</v>
      </c>
    </row>
    <row r="140" spans="1:1" x14ac:dyDescent="0.25">
      <c r="A140" t="s">
        <v>42</v>
      </c>
    </row>
    <row r="141" spans="1:1" x14ac:dyDescent="0.25">
      <c r="A141" t="s">
        <v>43</v>
      </c>
    </row>
    <row r="142" spans="1:1" x14ac:dyDescent="0.25">
      <c r="A142" t="s">
        <v>44</v>
      </c>
    </row>
    <row r="143" spans="1:1" x14ac:dyDescent="0.25">
      <c r="A143" t="s">
        <v>45</v>
      </c>
    </row>
    <row r="144" spans="1:1" x14ac:dyDescent="0.25">
      <c r="A144" t="s">
        <v>46</v>
      </c>
    </row>
    <row r="145" spans="1:1" x14ac:dyDescent="0.25">
      <c r="A145" t="s">
        <v>47</v>
      </c>
    </row>
    <row r="146" spans="1:1" x14ac:dyDescent="0.25">
      <c r="A146" t="s">
        <v>48</v>
      </c>
    </row>
    <row r="147" spans="1:1" x14ac:dyDescent="0.25">
      <c r="A147" t="s">
        <v>49</v>
      </c>
    </row>
    <row r="148" spans="1:1" x14ac:dyDescent="0.25">
      <c r="A148" t="s">
        <v>50</v>
      </c>
    </row>
    <row r="149" spans="1:1" x14ac:dyDescent="0.25">
      <c r="A149" t="s">
        <v>51</v>
      </c>
    </row>
    <row r="150" spans="1:1" x14ac:dyDescent="0.25">
      <c r="A150" t="s">
        <v>52</v>
      </c>
    </row>
    <row r="151" spans="1:1" x14ac:dyDescent="0.25">
      <c r="A151" t="s">
        <v>53</v>
      </c>
    </row>
    <row r="152" spans="1:1" x14ac:dyDescent="0.25">
      <c r="A152" t="s">
        <v>54</v>
      </c>
    </row>
    <row r="153" spans="1:1" x14ac:dyDescent="0.25">
      <c r="A153" t="s">
        <v>55</v>
      </c>
    </row>
    <row r="154" spans="1:1" x14ac:dyDescent="0.25">
      <c r="A154" t="s">
        <v>56</v>
      </c>
    </row>
    <row r="155" spans="1:1" x14ac:dyDescent="0.25">
      <c r="A155" t="s">
        <v>57</v>
      </c>
    </row>
    <row r="156" spans="1:1" x14ac:dyDescent="0.25">
      <c r="A156" t="s">
        <v>58</v>
      </c>
    </row>
    <row r="157" spans="1:1" x14ac:dyDescent="0.25">
      <c r="A157" t="s">
        <v>59</v>
      </c>
    </row>
    <row r="158" spans="1:1" x14ac:dyDescent="0.25">
      <c r="A158" t="s">
        <v>60</v>
      </c>
    </row>
    <row r="159" spans="1:1" x14ac:dyDescent="0.25">
      <c r="A159" t="s">
        <v>61</v>
      </c>
    </row>
    <row r="160" spans="1:1" x14ac:dyDescent="0.25">
      <c r="A160" t="s">
        <v>62</v>
      </c>
    </row>
    <row r="161" spans="1:1" x14ac:dyDescent="0.25">
      <c r="A161" t="s">
        <v>63</v>
      </c>
    </row>
    <row r="162" spans="1:1" x14ac:dyDescent="0.25">
      <c r="A162" t="s">
        <v>64</v>
      </c>
    </row>
    <row r="163" spans="1:1" x14ac:dyDescent="0.25">
      <c r="A163" t="s">
        <v>65</v>
      </c>
    </row>
    <row r="164" spans="1:1" x14ac:dyDescent="0.25">
      <c r="A164" t="s">
        <v>66</v>
      </c>
    </row>
    <row r="165" spans="1:1" x14ac:dyDescent="0.25">
      <c r="A165" t="s">
        <v>67</v>
      </c>
    </row>
    <row r="166" spans="1:1" x14ac:dyDescent="0.25">
      <c r="A166" t="s">
        <v>68</v>
      </c>
    </row>
    <row r="167" spans="1:1" x14ac:dyDescent="0.25">
      <c r="A167" t="s">
        <v>69</v>
      </c>
    </row>
    <row r="168" spans="1:1" x14ac:dyDescent="0.25">
      <c r="A168" t="s">
        <v>70</v>
      </c>
    </row>
    <row r="169" spans="1:1" x14ac:dyDescent="0.25">
      <c r="A169" t="s">
        <v>71</v>
      </c>
    </row>
    <row r="170" spans="1:1" x14ac:dyDescent="0.25">
      <c r="A170" t="s">
        <v>72</v>
      </c>
    </row>
    <row r="171" spans="1:1" x14ac:dyDescent="0.25">
      <c r="A171" t="s">
        <v>73</v>
      </c>
    </row>
    <row r="172" spans="1:1" x14ac:dyDescent="0.25">
      <c r="A172" t="s">
        <v>74</v>
      </c>
    </row>
    <row r="173" spans="1:1" x14ac:dyDescent="0.25">
      <c r="A173" t="s">
        <v>75</v>
      </c>
    </row>
    <row r="174" spans="1:1" x14ac:dyDescent="0.25">
      <c r="A174" t="s">
        <v>76</v>
      </c>
    </row>
    <row r="175" spans="1:1" x14ac:dyDescent="0.25">
      <c r="A175" t="s">
        <v>77</v>
      </c>
    </row>
    <row r="176" spans="1:1" x14ac:dyDescent="0.25">
      <c r="A176" t="s">
        <v>78</v>
      </c>
    </row>
    <row r="177" spans="1:1" x14ac:dyDescent="0.25">
      <c r="A177" t="s">
        <v>79</v>
      </c>
    </row>
    <row r="178" spans="1:1" x14ac:dyDescent="0.25">
      <c r="A178" t="s">
        <v>80</v>
      </c>
    </row>
    <row r="179" spans="1:1" x14ac:dyDescent="0.25">
      <c r="A179" t="s">
        <v>81</v>
      </c>
    </row>
    <row r="180" spans="1:1" x14ac:dyDescent="0.25">
      <c r="A180" t="s">
        <v>82</v>
      </c>
    </row>
    <row r="181" spans="1:1" x14ac:dyDescent="0.25">
      <c r="A181" t="s">
        <v>83</v>
      </c>
    </row>
    <row r="182" spans="1:1" x14ac:dyDescent="0.25">
      <c r="A182" t="s">
        <v>84</v>
      </c>
    </row>
    <row r="183" spans="1:1" x14ac:dyDescent="0.25">
      <c r="A183" t="s">
        <v>85</v>
      </c>
    </row>
    <row r="184" spans="1:1" x14ac:dyDescent="0.25">
      <c r="A184" t="s">
        <v>86</v>
      </c>
    </row>
    <row r="185" spans="1:1" x14ac:dyDescent="0.25">
      <c r="A185" t="s">
        <v>87</v>
      </c>
    </row>
    <row r="186" spans="1:1" x14ac:dyDescent="0.25">
      <c r="A186" t="s">
        <v>88</v>
      </c>
    </row>
    <row r="187" spans="1:1" x14ac:dyDescent="0.25">
      <c r="A187" t="s">
        <v>89</v>
      </c>
    </row>
    <row r="188" spans="1:1" x14ac:dyDescent="0.25">
      <c r="A188" t="s">
        <v>90</v>
      </c>
    </row>
    <row r="189" spans="1:1" x14ac:dyDescent="0.25">
      <c r="A189" t="s">
        <v>91</v>
      </c>
    </row>
    <row r="190" spans="1:1" x14ac:dyDescent="0.25">
      <c r="A190" t="s">
        <v>92</v>
      </c>
    </row>
    <row r="191" spans="1:1" x14ac:dyDescent="0.25">
      <c r="A191" t="s">
        <v>93</v>
      </c>
    </row>
    <row r="192" spans="1:1" x14ac:dyDescent="0.25">
      <c r="A192" t="s">
        <v>94</v>
      </c>
    </row>
    <row r="193" spans="1:1" x14ac:dyDescent="0.25">
      <c r="A193" t="s">
        <v>95</v>
      </c>
    </row>
    <row r="194" spans="1:1" x14ac:dyDescent="0.25">
      <c r="A194" t="s">
        <v>96</v>
      </c>
    </row>
    <row r="195" spans="1:1" x14ac:dyDescent="0.25">
      <c r="A195" t="s">
        <v>97</v>
      </c>
    </row>
    <row r="196" spans="1:1" x14ac:dyDescent="0.25">
      <c r="A196" t="s">
        <v>98</v>
      </c>
    </row>
    <row r="197" spans="1:1" x14ac:dyDescent="0.25">
      <c r="A197" t="s">
        <v>99</v>
      </c>
    </row>
    <row r="198" spans="1:1" x14ac:dyDescent="0.25">
      <c r="A198" t="s">
        <v>100</v>
      </c>
    </row>
    <row r="199" spans="1:1" x14ac:dyDescent="0.25">
      <c r="A199" t="s">
        <v>101</v>
      </c>
    </row>
    <row r="200" spans="1:1" x14ac:dyDescent="0.25">
      <c r="A200" t="s">
        <v>102</v>
      </c>
    </row>
    <row r="201" spans="1:1" x14ac:dyDescent="0.25">
      <c r="A201" t="s">
        <v>103</v>
      </c>
    </row>
    <row r="202" spans="1:1" x14ac:dyDescent="0.25">
      <c r="A202" t="s">
        <v>104</v>
      </c>
    </row>
    <row r="203" spans="1:1" x14ac:dyDescent="0.25">
      <c r="A203" t="s">
        <v>105</v>
      </c>
    </row>
    <row r="204" spans="1:1" x14ac:dyDescent="0.25">
      <c r="A204" t="s">
        <v>106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36"/>
  <sheetViews>
    <sheetView tabSelected="1" topLeftCell="A201" workbookViewId="0">
      <selection activeCell="E236" sqref="E236"/>
    </sheetView>
  </sheetViews>
  <sheetFormatPr defaultRowHeight="15" x14ac:dyDescent="0.25"/>
  <cols>
    <col min="1" max="1" width="59.42578125" bestFit="1" customWidth="1"/>
    <col min="2" max="2" width="8.42578125" bestFit="1" customWidth="1"/>
    <col min="3" max="3" width="15.7109375" bestFit="1" customWidth="1"/>
    <col min="4" max="4" width="13.42578125" bestFit="1" customWidth="1"/>
    <col min="5" max="5" width="8.42578125" bestFit="1" customWidth="1"/>
  </cols>
  <sheetData>
    <row r="1" spans="1:5" x14ac:dyDescent="0.25">
      <c r="A1" t="s">
        <v>107</v>
      </c>
      <c r="B1" t="s">
        <v>108</v>
      </c>
      <c r="C1" t="s">
        <v>109</v>
      </c>
      <c r="D1" t="s">
        <v>110</v>
      </c>
      <c r="E1" t="s">
        <v>111</v>
      </c>
    </row>
    <row r="2" spans="1:5" x14ac:dyDescent="0.25">
      <c r="A2" s="4" t="s">
        <v>5</v>
      </c>
      <c r="B2" s="4">
        <f>GLW(TRIM(Table2_2[[#This Row],[Datushka]]),0)*1</f>
        <v>3666</v>
      </c>
      <c r="C2" s="4">
        <f>GLW(TRIM(Table2_2[[#This Row],[Datushka]]),1)*1</f>
        <v>2541</v>
      </c>
      <c r="D2" s="4">
        <f>GLW(TRIM(Table2_2[[#This Row],[Datushka]]),2)*1</f>
        <v>6207</v>
      </c>
      <c r="E2" s="4">
        <f>SUM($D$2:D2)</f>
        <v>6207</v>
      </c>
    </row>
    <row r="3" spans="1:5" x14ac:dyDescent="0.25">
      <c r="A3" s="4" t="s">
        <v>6</v>
      </c>
      <c r="B3" s="4">
        <f>GLW(TRIM(Table2_2[[#This Row],[Datushka]]),0)*1</f>
        <v>7524</v>
      </c>
      <c r="C3" s="4">
        <f>GLW(TRIM(Table2_2[[#This Row],[Datushka]]),1)*1</f>
        <v>5082</v>
      </c>
      <c r="D3" s="4">
        <f>GLW(TRIM(Table2_2[[#This Row],[Datushka]]),2)*1</f>
        <v>12606</v>
      </c>
      <c r="E3" s="4">
        <f>SUM($D$2:D3)</f>
        <v>18813</v>
      </c>
    </row>
    <row r="4" spans="1:5" x14ac:dyDescent="0.25">
      <c r="A4" s="4" t="s">
        <v>7</v>
      </c>
      <c r="B4" s="4">
        <f>GLW(TRIM(Table2_2[[#This Row],[Datushka]]),0)*1</f>
        <v>3288</v>
      </c>
      <c r="C4" s="4">
        <f>GLW(TRIM(Table2_2[[#This Row],[Datushka]]),1)*1</f>
        <v>2952</v>
      </c>
      <c r="D4" s="4">
        <f>GLW(TRIM(Table2_2[[#This Row],[Datushka]]),2)*1</f>
        <v>6240</v>
      </c>
      <c r="E4" s="4">
        <f>SUM($D$2:D4)</f>
        <v>25053</v>
      </c>
    </row>
    <row r="5" spans="1:5" x14ac:dyDescent="0.25">
      <c r="A5" s="4" t="s">
        <v>8</v>
      </c>
      <c r="B5" s="4">
        <f>GLW(TRIM(Table2_2[[#This Row],[Datushka]]),0)*1</f>
        <v>12300</v>
      </c>
      <c r="C5" s="4">
        <f>GLW(TRIM(Table2_2[[#This Row],[Datushka]]),1)*1</f>
        <v>8470</v>
      </c>
      <c r="D5" s="4">
        <f>GLW(TRIM(Table2_2[[#This Row],[Datushka]]),2)*1</f>
        <v>20770</v>
      </c>
      <c r="E5" s="4">
        <f>SUM($D$2:D5)</f>
        <v>45823</v>
      </c>
    </row>
    <row r="6" spans="1:5" x14ac:dyDescent="0.25">
      <c r="A6" s="4" t="s">
        <v>9</v>
      </c>
      <c r="B6" s="4">
        <f>GLW(TRIM(Table2_2[[#This Row],[Datushka]]),0)*1</f>
        <v>4740</v>
      </c>
      <c r="C6" s="4">
        <f>GLW(TRIM(Table2_2[[#This Row],[Datushka]]),1)*1</f>
        <v>3388</v>
      </c>
      <c r="D6" s="4">
        <f>GLW(TRIM(Table2_2[[#This Row],[Datushka]]),2)*1</f>
        <v>8128</v>
      </c>
      <c r="E6" s="4">
        <f>SUM($D$2:D6)</f>
        <v>53951</v>
      </c>
    </row>
    <row r="7" spans="1:5" x14ac:dyDescent="0.25">
      <c r="A7" s="4" t="s">
        <v>10</v>
      </c>
      <c r="B7" s="4">
        <f>GLW(TRIM(Table2_2[[#This Row],[Datushka]]),0)*1</f>
        <v>1035</v>
      </c>
      <c r="C7" s="4">
        <f>GLW(TRIM(Table2_2[[#This Row],[Datushka]]),1)*1</f>
        <v>847</v>
      </c>
      <c r="D7" s="4">
        <f>GLW(TRIM(Table2_2[[#This Row],[Datushka]]),2)*1</f>
        <v>1882</v>
      </c>
      <c r="E7" s="4">
        <f>SUM($D$2:D7)</f>
        <v>55833</v>
      </c>
    </row>
    <row r="8" spans="1:5" x14ac:dyDescent="0.25">
      <c r="A8" s="4" t="s">
        <v>11</v>
      </c>
      <c r="B8" s="4">
        <f>GLW(TRIM(Table2_2[[#This Row],[Datushka]]),0)*1</f>
        <v>1247</v>
      </c>
      <c r="C8" s="4">
        <f>GLW(TRIM(Table2_2[[#This Row],[Datushka]]),1)*1</f>
        <v>984</v>
      </c>
      <c r="D8" s="4">
        <f>GLW(TRIM(Table2_2[[#This Row],[Datushka]]),2)*1</f>
        <v>2231</v>
      </c>
      <c r="E8" s="4">
        <f>SUM($D$2:D8)</f>
        <v>58064</v>
      </c>
    </row>
    <row r="9" spans="1:5" x14ac:dyDescent="0.25">
      <c r="A9" s="4" t="s">
        <v>12</v>
      </c>
      <c r="B9" s="4">
        <f>GLW(TRIM(Table2_2[[#This Row],[Datushka]]),0)*1</f>
        <v>6210</v>
      </c>
      <c r="C9" s="4">
        <f>GLW(TRIM(Table2_2[[#This Row],[Datushka]]),1)*1</f>
        <v>4235</v>
      </c>
      <c r="D9" s="4">
        <f>GLW(TRIM(Table2_2[[#This Row],[Datushka]]),2)*1</f>
        <v>10445</v>
      </c>
      <c r="E9" s="4">
        <f>SUM($D$2:D9)</f>
        <v>68509</v>
      </c>
    </row>
    <row r="10" spans="1:5" x14ac:dyDescent="0.25">
      <c r="A10" s="4" t="s">
        <v>13</v>
      </c>
      <c r="B10" s="4">
        <f>GLW(TRIM(Table2_2[[#This Row],[Datushka]]),0)*1</f>
        <v>1070</v>
      </c>
      <c r="C10" s="4">
        <f>GLW(TRIM(Table2_2[[#This Row],[Datushka]]),1)*1</f>
        <v>984</v>
      </c>
      <c r="D10" s="4">
        <f>GLW(TRIM(Table2_2[[#This Row],[Datushka]]),2)*1</f>
        <v>2054</v>
      </c>
      <c r="E10" s="4">
        <f>SUM($D$2:D10)</f>
        <v>70563</v>
      </c>
    </row>
    <row r="11" spans="1:5" x14ac:dyDescent="0.25">
      <c r="A11" s="4" t="s">
        <v>14</v>
      </c>
      <c r="B11" s="4">
        <f>GLW(TRIM(Table2_2[[#This Row],[Datushka]]),0)*1</f>
        <v>7448</v>
      </c>
      <c r="C11" s="4">
        <f>GLW(TRIM(Table2_2[[#This Row],[Datushka]]),1)*1</f>
        <v>6776</v>
      </c>
      <c r="D11" s="4">
        <f>GLW(TRIM(Table2_2[[#This Row],[Datushka]]),2)*1</f>
        <v>14224</v>
      </c>
      <c r="E11" s="4">
        <f>SUM($D$2:D11)</f>
        <v>84787</v>
      </c>
    </row>
    <row r="12" spans="1:5" x14ac:dyDescent="0.25">
      <c r="A12" s="4" t="s">
        <v>15</v>
      </c>
      <c r="B12" s="4">
        <f>GLW(TRIM(Table2_2[[#This Row],[Datushka]]),0)*1</f>
        <v>3748</v>
      </c>
      <c r="C12" s="4">
        <f>GLW(TRIM(Table2_2[[#This Row],[Datushka]]),1)*1</f>
        <v>3388</v>
      </c>
      <c r="D12" s="4">
        <f>GLW(TRIM(Table2_2[[#This Row],[Datushka]]),2)*1</f>
        <v>7136</v>
      </c>
      <c r="E12" s="4">
        <f>SUM($D$2:D12)</f>
        <v>91923</v>
      </c>
    </row>
    <row r="13" spans="1:5" x14ac:dyDescent="0.25">
      <c r="A13" s="4" t="s">
        <v>16</v>
      </c>
      <c r="B13" s="4">
        <f>GLW(TRIM(Table2_2[[#This Row],[Datushka]]),0)*1</f>
        <v>10262</v>
      </c>
      <c r="C13" s="4">
        <f>GLW(TRIM(Table2_2[[#This Row],[Datushka]]),1)*1</f>
        <v>6888</v>
      </c>
      <c r="D13" s="4">
        <f>GLW(TRIM(Table2_2[[#This Row],[Datushka]]),2)*1</f>
        <v>17150</v>
      </c>
      <c r="E13" s="4">
        <f>SUM($D$2:D13)</f>
        <v>109073</v>
      </c>
    </row>
    <row r="14" spans="1:5" x14ac:dyDescent="0.25">
      <c r="A14" s="4" t="s">
        <v>17</v>
      </c>
      <c r="B14" s="4">
        <f>GLW(TRIM(Table2_2[[#This Row],[Datushka]]),0)*1</f>
        <v>3762</v>
      </c>
      <c r="C14" s="4">
        <f>GLW(TRIM(Table2_2[[#This Row],[Datushka]]),1)*1</f>
        <v>2952</v>
      </c>
      <c r="D14" s="4">
        <f>GLW(TRIM(Table2_2[[#This Row],[Datushka]]),2)*1</f>
        <v>6714</v>
      </c>
      <c r="E14" s="4">
        <f>SUM($D$2:D14)</f>
        <v>115787</v>
      </c>
    </row>
    <row r="15" spans="1:5" x14ac:dyDescent="0.25">
      <c r="A15" s="4" t="s">
        <v>18</v>
      </c>
      <c r="B15" s="4">
        <f>GLW(TRIM(Table2_2[[#This Row],[Datushka]]),0)*1</f>
        <v>5956</v>
      </c>
      <c r="C15" s="4">
        <f>GLW(TRIM(Table2_2[[#This Row],[Datushka]]),1)*1</f>
        <v>4088</v>
      </c>
      <c r="D15" s="4">
        <f>GLW(TRIM(Table2_2[[#This Row],[Datushka]]),2)*1</f>
        <v>10044</v>
      </c>
      <c r="E15" s="4">
        <f>SUM($D$2:D15)</f>
        <v>125831</v>
      </c>
    </row>
    <row r="16" spans="1:5" x14ac:dyDescent="0.25">
      <c r="A16" s="4" t="s">
        <v>19</v>
      </c>
      <c r="B16" s="4">
        <f>GLW(TRIM(Table2_2[[#This Row],[Datushka]]),0)*1</f>
        <v>10780</v>
      </c>
      <c r="C16" s="4">
        <f>GLW(TRIM(Table2_2[[#This Row],[Datushka]]),1)*1</f>
        <v>8470</v>
      </c>
      <c r="D16" s="4">
        <f>GLW(TRIM(Table2_2[[#This Row],[Datushka]]),2)*1</f>
        <v>19250</v>
      </c>
      <c r="E16" s="4">
        <f>SUM($D$2:D16)</f>
        <v>145081</v>
      </c>
    </row>
    <row r="17" spans="1:5" x14ac:dyDescent="0.25">
      <c r="A17" s="4" t="s">
        <v>20</v>
      </c>
      <c r="B17" s="4">
        <f>GLW(TRIM(Table2_2[[#This Row],[Datushka]]),0)*1</f>
        <v>8864</v>
      </c>
      <c r="C17" s="4">
        <f>GLW(TRIM(Table2_2[[#This Row],[Datushka]]),1)*1</f>
        <v>6776</v>
      </c>
      <c r="D17" s="4">
        <f>GLW(TRIM(Table2_2[[#This Row],[Datushka]]),2)*1</f>
        <v>15640</v>
      </c>
      <c r="E17" s="4">
        <f>SUM($D$2:D17)</f>
        <v>160721</v>
      </c>
    </row>
    <row r="18" spans="1:5" x14ac:dyDescent="0.25">
      <c r="A18" s="4" t="s">
        <v>21</v>
      </c>
      <c r="B18" s="4">
        <f>GLW(TRIM(Table2_2[[#This Row],[Datushka]]),0)*1</f>
        <v>6768</v>
      </c>
      <c r="C18" s="4">
        <f>GLW(TRIM(Table2_2[[#This Row],[Datushka]]),1)*1</f>
        <v>5904</v>
      </c>
      <c r="D18" s="4">
        <f>GLW(TRIM(Table2_2[[#This Row],[Datushka]]),2)*1</f>
        <v>12672</v>
      </c>
      <c r="E18" s="4">
        <f>SUM($D$2:D18)</f>
        <v>173393</v>
      </c>
    </row>
    <row r="19" spans="1:5" x14ac:dyDescent="0.25">
      <c r="A19" s="4" t="s">
        <v>22</v>
      </c>
      <c r="B19" s="4">
        <f>GLW(TRIM(Table2_2[[#This Row],[Datushka]]),0)*1</f>
        <v>2991</v>
      </c>
      <c r="C19" s="4">
        <f>GLW(TRIM(Table2_2[[#This Row],[Datushka]]),1)*1</f>
        <v>2541</v>
      </c>
      <c r="D19" s="4">
        <f>GLW(TRIM(Table2_2[[#This Row],[Datushka]]),2)*1</f>
        <v>5532</v>
      </c>
      <c r="E19" s="4">
        <f>SUM($D$2:D19)</f>
        <v>178925</v>
      </c>
    </row>
    <row r="20" spans="1:5" x14ac:dyDescent="0.25">
      <c r="A20" s="4" t="s">
        <v>23</v>
      </c>
      <c r="B20" s="4">
        <f>GLW(TRIM(Table2_2[[#This Row],[Datushka]]),0)*1</f>
        <v>2772</v>
      </c>
      <c r="C20" s="4">
        <f>GLW(TRIM(Table2_2[[#This Row],[Datushka]]),1)*1</f>
        <v>1968</v>
      </c>
      <c r="D20" s="4">
        <f>GLW(TRIM(Table2_2[[#This Row],[Datushka]]),2)*1</f>
        <v>4740</v>
      </c>
      <c r="E20" s="4">
        <f>SUM($D$2:D20)</f>
        <v>183665</v>
      </c>
    </row>
    <row r="21" spans="1:5" x14ac:dyDescent="0.25">
      <c r="A21" s="4" t="s">
        <v>24</v>
      </c>
      <c r="B21" s="4">
        <f>GLW(TRIM(Table2_2[[#This Row],[Datushka]]),0)*1</f>
        <v>1165</v>
      </c>
      <c r="C21" s="4">
        <f>GLW(TRIM(Table2_2[[#This Row],[Datushka]]),1)*1</f>
        <v>847</v>
      </c>
      <c r="D21" s="4">
        <f>GLW(TRIM(Table2_2[[#This Row],[Datushka]]),2)*1</f>
        <v>2012</v>
      </c>
      <c r="E21" s="4">
        <f>SUM($D$2:D21)</f>
        <v>185677</v>
      </c>
    </row>
    <row r="22" spans="1:5" x14ac:dyDescent="0.25">
      <c r="A22" s="4" t="s">
        <v>25</v>
      </c>
      <c r="B22" s="4">
        <f>GLW(TRIM(Table2_2[[#This Row],[Datushka]]),0)*1</f>
        <v>9288</v>
      </c>
      <c r="C22" s="4">
        <f>GLW(TRIM(Table2_2[[#This Row],[Datushka]]),1)*1</f>
        <v>7872</v>
      </c>
      <c r="D22" s="4">
        <f>GLW(TRIM(Table2_2[[#This Row],[Datushka]]),2)*1</f>
        <v>17160</v>
      </c>
      <c r="E22" s="4">
        <f>SUM($D$2:D22)</f>
        <v>202837</v>
      </c>
    </row>
    <row r="23" spans="1:5" x14ac:dyDescent="0.25">
      <c r="A23" s="4" t="s">
        <v>26</v>
      </c>
      <c r="B23" s="4">
        <f>GLW(TRIM(Table2_2[[#This Row],[Datushka]]),0)*1</f>
        <v>7385</v>
      </c>
      <c r="C23" s="4">
        <f>GLW(TRIM(Table2_2[[#This Row],[Datushka]]),1)*1</f>
        <v>5929</v>
      </c>
      <c r="D23" s="4">
        <f>GLW(TRIM(Table2_2[[#This Row],[Datushka]]),2)*1</f>
        <v>13314</v>
      </c>
      <c r="E23" s="4">
        <f>SUM($D$2:D23)</f>
        <v>216151</v>
      </c>
    </row>
    <row r="24" spans="1:5" x14ac:dyDescent="0.25">
      <c r="A24" s="4" t="s">
        <v>27</v>
      </c>
      <c r="B24" s="4">
        <f>GLW(TRIM(Table2_2[[#This Row],[Datushka]]),0)*1</f>
        <v>2312</v>
      </c>
      <c r="C24" s="4">
        <f>GLW(TRIM(Table2_2[[#This Row],[Datushka]]),1)*1</f>
        <v>1968</v>
      </c>
      <c r="D24" s="4">
        <f>GLW(TRIM(Table2_2[[#This Row],[Datushka]]),2)*1</f>
        <v>4280</v>
      </c>
      <c r="E24" s="4">
        <f>SUM($D$2:D24)</f>
        <v>220431</v>
      </c>
    </row>
    <row r="25" spans="1:5" x14ac:dyDescent="0.25">
      <c r="A25" s="4" t="s">
        <v>28</v>
      </c>
      <c r="B25" s="4">
        <f>GLW(TRIM(Table2_2[[#This Row],[Datushka]]),0)*1</f>
        <v>12852</v>
      </c>
      <c r="C25" s="4">
        <f>GLW(TRIM(Table2_2[[#This Row],[Datushka]]),1)*1</f>
        <v>8856</v>
      </c>
      <c r="D25" s="4">
        <f>GLW(TRIM(Table2_2[[#This Row],[Datushka]]),2)*1</f>
        <v>21708</v>
      </c>
      <c r="E25" s="4">
        <f>SUM($D$2:D25)</f>
        <v>242139</v>
      </c>
    </row>
    <row r="26" spans="1:5" x14ac:dyDescent="0.25">
      <c r="A26" s="4" t="s">
        <v>29</v>
      </c>
      <c r="B26" s="4">
        <f>GLW(TRIM(Table2_2[[#This Row],[Datushka]]),0)*1</f>
        <v>11420</v>
      </c>
      <c r="C26" s="4">
        <f>GLW(TRIM(Table2_2[[#This Row],[Datushka]]),1)*1</f>
        <v>8470</v>
      </c>
      <c r="D26" s="4">
        <f>GLW(TRIM(Table2_2[[#This Row],[Datushka]]),2)*1</f>
        <v>19890</v>
      </c>
      <c r="E26" s="4">
        <f>SUM($D$2:D26)</f>
        <v>262029</v>
      </c>
    </row>
    <row r="27" spans="1:5" x14ac:dyDescent="0.25">
      <c r="A27" s="4" t="s">
        <v>30</v>
      </c>
      <c r="B27" s="4">
        <f>GLW(TRIM(Table2_2[[#This Row],[Datushka]]),0)*1</f>
        <v>970</v>
      </c>
      <c r="C27" s="4">
        <f>GLW(TRIM(Table2_2[[#This Row],[Datushka]]),1)*1</f>
        <v>847</v>
      </c>
      <c r="D27" s="4">
        <f>GLW(TRIM(Table2_2[[#This Row],[Datushka]]),2)*1</f>
        <v>1817</v>
      </c>
      <c r="E27" s="4">
        <f>SUM($D$2:D27)</f>
        <v>263846</v>
      </c>
    </row>
    <row r="28" spans="1:5" x14ac:dyDescent="0.25">
      <c r="A28" s="4" t="s">
        <v>31</v>
      </c>
      <c r="B28" s="4">
        <f>GLW(TRIM(Table2_2[[#This Row],[Datushka]]),0)*1</f>
        <v>3504</v>
      </c>
      <c r="C28" s="4">
        <f>GLW(TRIM(Table2_2[[#This Row],[Datushka]]),1)*1</f>
        <v>2541</v>
      </c>
      <c r="D28" s="4">
        <f>GLW(TRIM(Table2_2[[#This Row],[Datushka]]),2)*1</f>
        <v>6045</v>
      </c>
      <c r="E28" s="4">
        <f>SUM($D$2:D28)</f>
        <v>269891</v>
      </c>
    </row>
    <row r="29" spans="1:5" x14ac:dyDescent="0.25">
      <c r="A29" s="4" t="s">
        <v>32</v>
      </c>
      <c r="B29" s="4">
        <f>GLW(TRIM(Table2_2[[#This Row],[Datushka]]),0)*1</f>
        <v>2616</v>
      </c>
      <c r="C29" s="4">
        <f>GLW(TRIM(Table2_2[[#This Row],[Datushka]]),1)*1</f>
        <v>2541</v>
      </c>
      <c r="D29" s="4">
        <f>GLW(TRIM(Table2_2[[#This Row],[Datushka]]),2)*1</f>
        <v>5157</v>
      </c>
      <c r="E29" s="4">
        <f>SUM($D$2:D29)</f>
        <v>275048</v>
      </c>
    </row>
    <row r="30" spans="1:5" x14ac:dyDescent="0.25">
      <c r="A30" s="4" t="s">
        <v>33</v>
      </c>
      <c r="B30" s="4">
        <f>GLW(TRIM(Table2_2[[#This Row],[Datushka]]),0)*1</f>
        <v>3792</v>
      </c>
      <c r="C30" s="4">
        <f>GLW(TRIM(Table2_2[[#This Row],[Datushka]]),1)*1</f>
        <v>3388</v>
      </c>
      <c r="D30" s="4">
        <f>GLW(TRIM(Table2_2[[#This Row],[Datushka]]),2)*1</f>
        <v>7180</v>
      </c>
      <c r="E30" s="4">
        <f>SUM($D$2:D30)</f>
        <v>282228</v>
      </c>
    </row>
    <row r="31" spans="1:5" x14ac:dyDescent="0.25">
      <c r="A31" s="4" t="s">
        <v>34</v>
      </c>
      <c r="B31" s="4">
        <f>GLW(TRIM(Table2_2[[#This Row],[Datushka]]),0)*1</f>
        <v>1465</v>
      </c>
      <c r="C31" s="4">
        <f>GLW(TRIM(Table2_2[[#This Row],[Datushka]]),1)*1</f>
        <v>1022</v>
      </c>
      <c r="D31" s="4">
        <f>GLW(TRIM(Table2_2[[#This Row],[Datushka]]),2)*1</f>
        <v>2487</v>
      </c>
      <c r="E31" s="4">
        <f>SUM($D$2:D31)</f>
        <v>284715</v>
      </c>
    </row>
    <row r="32" spans="1:5" x14ac:dyDescent="0.25">
      <c r="A32" s="4" t="s">
        <v>35</v>
      </c>
      <c r="B32" s="4">
        <f>GLW(TRIM(Table2_2[[#This Row],[Datushka]]),0)*1</f>
        <v>6894</v>
      </c>
      <c r="C32" s="4">
        <f>GLW(TRIM(Table2_2[[#This Row],[Datushka]]),1)*1</f>
        <v>5904</v>
      </c>
      <c r="D32" s="4">
        <f>GLW(TRIM(Table2_2[[#This Row],[Datushka]]),2)*1</f>
        <v>12798</v>
      </c>
      <c r="E32" s="4">
        <f>SUM($D$2:D32)</f>
        <v>297513</v>
      </c>
    </row>
    <row r="33" spans="1:5" x14ac:dyDescent="0.25">
      <c r="A33" s="4" t="s">
        <v>36</v>
      </c>
      <c r="B33" s="4">
        <f>GLW(TRIM(Table2_2[[#This Row],[Datushka]]),0)*1</f>
        <v>6979</v>
      </c>
      <c r="C33" s="4">
        <f>GLW(TRIM(Table2_2[[#This Row],[Datushka]]),1)*1</f>
        <v>6888</v>
      </c>
      <c r="D33" s="4">
        <f>GLW(TRIM(Table2_2[[#This Row],[Datushka]]),2)*1</f>
        <v>13867</v>
      </c>
      <c r="E33" s="4">
        <f>SUM($D$2:D33)</f>
        <v>311380</v>
      </c>
    </row>
    <row r="34" spans="1:5" x14ac:dyDescent="0.25">
      <c r="A34" s="4" t="s">
        <v>37</v>
      </c>
      <c r="B34" s="4">
        <f>GLW(TRIM(Table2_2[[#This Row],[Datushka]]),0)*1</f>
        <v>1219</v>
      </c>
      <c r="C34" s="4">
        <f>GLW(TRIM(Table2_2[[#This Row],[Datushka]]),1)*1</f>
        <v>847</v>
      </c>
      <c r="D34" s="4">
        <f>GLW(TRIM(Table2_2[[#This Row],[Datushka]]),2)*1</f>
        <v>2066</v>
      </c>
      <c r="E34" s="4">
        <f>SUM($D$2:D34)</f>
        <v>313446</v>
      </c>
    </row>
    <row r="35" spans="1:5" x14ac:dyDescent="0.25">
      <c r="A35" s="4" t="s">
        <v>38</v>
      </c>
      <c r="B35" s="4">
        <f>GLW(TRIM(Table2_2[[#This Row],[Datushka]]),0)*1</f>
        <v>8760</v>
      </c>
      <c r="C35" s="4">
        <f>GLW(TRIM(Table2_2[[#This Row],[Datushka]]),1)*1</f>
        <v>8176</v>
      </c>
      <c r="D35" s="4">
        <f>GLW(TRIM(Table2_2[[#This Row],[Datushka]]),2)*1</f>
        <v>16936</v>
      </c>
      <c r="E35" s="4">
        <f>SUM($D$2:D35)</f>
        <v>330382</v>
      </c>
    </row>
    <row r="36" spans="1:5" x14ac:dyDescent="0.25">
      <c r="A36" s="4" t="s">
        <v>39</v>
      </c>
      <c r="B36" s="4">
        <f>GLW(TRIM(Table2_2[[#This Row],[Datushka]]),0)*1</f>
        <v>2774</v>
      </c>
      <c r="C36" s="4">
        <f>GLW(TRIM(Table2_2[[#This Row],[Datushka]]),1)*1</f>
        <v>1968</v>
      </c>
      <c r="D36" s="4">
        <f>GLW(TRIM(Table2_2[[#This Row],[Datushka]]),2)*1</f>
        <v>4742</v>
      </c>
      <c r="E36" s="4">
        <f>SUM($D$2:D36)</f>
        <v>335124</v>
      </c>
    </row>
    <row r="37" spans="1:5" x14ac:dyDescent="0.25">
      <c r="A37" s="4" t="s">
        <v>40</v>
      </c>
      <c r="B37" s="4">
        <f>GLW(TRIM(Table2_2[[#This Row],[Datushka]]),0)*1</f>
        <v>6348</v>
      </c>
      <c r="C37" s="4">
        <f>GLW(TRIM(Table2_2[[#This Row],[Datushka]]),1)*1</f>
        <v>5082</v>
      </c>
      <c r="D37" s="4">
        <f>GLW(TRIM(Table2_2[[#This Row],[Datushka]]),2)*1</f>
        <v>11430</v>
      </c>
      <c r="E37" s="4">
        <f>SUM($D$2:D37)</f>
        <v>346554</v>
      </c>
    </row>
    <row r="38" spans="1:5" x14ac:dyDescent="0.25">
      <c r="A38" s="4" t="s">
        <v>41</v>
      </c>
      <c r="B38" s="4">
        <f>GLW(TRIM(Table2_2[[#This Row],[Datushka]]),0)*1</f>
        <v>2182</v>
      </c>
      <c r="C38" s="4">
        <f>GLW(TRIM(Table2_2[[#This Row],[Datushka]]),1)*1</f>
        <v>1694</v>
      </c>
      <c r="D38" s="4">
        <f>GLW(TRIM(Table2_2[[#This Row],[Datushka]]),2)*1</f>
        <v>3876</v>
      </c>
      <c r="E38" s="4">
        <f>SUM($D$2:D38)</f>
        <v>350430</v>
      </c>
    </row>
    <row r="39" spans="1:5" x14ac:dyDescent="0.25">
      <c r="A39" s="4" t="s">
        <v>42</v>
      </c>
      <c r="B39" s="4">
        <f>GLW(TRIM(Table2_2[[#This Row],[Datushka]]),0)*1</f>
        <v>11780</v>
      </c>
      <c r="C39" s="4">
        <f>GLW(TRIM(Table2_2[[#This Row],[Datushka]]),1)*1</f>
        <v>8470</v>
      </c>
      <c r="D39" s="4">
        <f>GLW(TRIM(Table2_2[[#This Row],[Datushka]]),2)*1</f>
        <v>20250</v>
      </c>
      <c r="E39" s="4">
        <f>SUM($D$2:D39)</f>
        <v>370680</v>
      </c>
    </row>
    <row r="40" spans="1:5" x14ac:dyDescent="0.25">
      <c r="A40" s="4" t="s">
        <v>43</v>
      </c>
      <c r="B40" s="4">
        <f>GLW(TRIM(Table2_2[[#This Row],[Datushka]]),0)*1</f>
        <v>1073</v>
      </c>
      <c r="C40" s="4">
        <f>GLW(TRIM(Table2_2[[#This Row],[Datushka]]),1)*1</f>
        <v>1022</v>
      </c>
      <c r="D40" s="4">
        <f>GLW(TRIM(Table2_2[[#This Row],[Datushka]]),2)*1</f>
        <v>2095</v>
      </c>
      <c r="E40" s="4">
        <f>SUM($D$2:D40)</f>
        <v>372775</v>
      </c>
    </row>
    <row r="41" spans="1:5" x14ac:dyDescent="0.25">
      <c r="A41" s="4" t="s">
        <v>44</v>
      </c>
      <c r="B41" s="4">
        <f>GLW(TRIM(Table2_2[[#This Row],[Datushka]]),0)*1</f>
        <v>5152</v>
      </c>
      <c r="C41" s="4">
        <f>GLW(TRIM(Table2_2[[#This Row],[Datushka]]),1)*1</f>
        <v>3936</v>
      </c>
      <c r="D41" s="4">
        <f>GLW(TRIM(Table2_2[[#This Row],[Datushka]]),2)*1</f>
        <v>9088</v>
      </c>
      <c r="E41" s="4">
        <f>SUM($D$2:D41)</f>
        <v>381863</v>
      </c>
    </row>
    <row r="42" spans="1:5" x14ac:dyDescent="0.25">
      <c r="A42" s="4" t="s">
        <v>45</v>
      </c>
      <c r="B42" s="4">
        <f>GLW(TRIM(Table2_2[[#This Row],[Datushka]]),0)*1</f>
        <v>6150</v>
      </c>
      <c r="C42" s="4">
        <f>GLW(TRIM(Table2_2[[#This Row],[Datushka]]),1)*1</f>
        <v>4235</v>
      </c>
      <c r="D42" s="4">
        <f>GLW(TRIM(Table2_2[[#This Row],[Datushka]]),2)*1</f>
        <v>10385</v>
      </c>
      <c r="E42" s="4">
        <f>SUM($D$2:D42)</f>
        <v>392248</v>
      </c>
    </row>
    <row r="43" spans="1:5" x14ac:dyDescent="0.25">
      <c r="A43" s="4" t="s">
        <v>46</v>
      </c>
      <c r="B43" s="4">
        <f>GLW(TRIM(Table2_2[[#This Row],[Datushka]]),0)*1</f>
        <v>14860</v>
      </c>
      <c r="C43" s="4">
        <f>GLW(TRIM(Table2_2[[#This Row],[Datushka]]),1)*1</f>
        <v>10220</v>
      </c>
      <c r="D43" s="4">
        <f>GLW(TRIM(Table2_2[[#This Row],[Datushka]]),2)*1</f>
        <v>25080</v>
      </c>
      <c r="E43" s="4">
        <f>SUM($D$2:D43)</f>
        <v>417328</v>
      </c>
    </row>
    <row r="44" spans="1:5" x14ac:dyDescent="0.25">
      <c r="A44" s="4" t="s">
        <v>47</v>
      </c>
      <c r="B44" s="4">
        <f>GLW(TRIM(Table2_2[[#This Row],[Datushka]]),0)*1</f>
        <v>3764</v>
      </c>
      <c r="C44" s="4">
        <f>GLW(TRIM(Table2_2[[#This Row],[Datushka]]),1)*1</f>
        <v>3388</v>
      </c>
      <c r="D44" s="4">
        <f>GLW(TRIM(Table2_2[[#This Row],[Datushka]]),2)*1</f>
        <v>7152</v>
      </c>
      <c r="E44" s="4">
        <f>SUM($D$2:D44)</f>
        <v>424480</v>
      </c>
    </row>
    <row r="45" spans="1:5" x14ac:dyDescent="0.25">
      <c r="A45" s="4" t="s">
        <v>48</v>
      </c>
      <c r="B45" s="4">
        <f>GLW(TRIM(Table2_2[[#This Row],[Datushka]]),0)*1</f>
        <v>6042</v>
      </c>
      <c r="C45" s="4">
        <f>GLW(TRIM(Table2_2[[#This Row],[Datushka]]),1)*1</f>
        <v>5082</v>
      </c>
      <c r="D45" s="4">
        <f>GLW(TRIM(Table2_2[[#This Row],[Datushka]]),2)*1</f>
        <v>11124</v>
      </c>
      <c r="E45" s="4">
        <f>SUM($D$2:D45)</f>
        <v>435604</v>
      </c>
    </row>
    <row r="46" spans="1:5" x14ac:dyDescent="0.25">
      <c r="A46" s="4" t="s">
        <v>49</v>
      </c>
      <c r="B46" s="4">
        <f>GLW(TRIM(Table2_2[[#This Row],[Datushka]]),0)*1</f>
        <v>3159</v>
      </c>
      <c r="C46" s="4">
        <f>GLW(TRIM(Table2_2[[#This Row],[Datushka]]),1)*1</f>
        <v>2541</v>
      </c>
      <c r="D46" s="4">
        <f>GLW(TRIM(Table2_2[[#This Row],[Datushka]]),2)*1</f>
        <v>5700</v>
      </c>
      <c r="E46" s="4">
        <f>SUM($D$2:D46)</f>
        <v>441304</v>
      </c>
    </row>
    <row r="47" spans="1:5" x14ac:dyDescent="0.25">
      <c r="A47" s="4" t="s">
        <v>50</v>
      </c>
      <c r="B47" s="4">
        <f>GLW(TRIM(Table2_2[[#This Row],[Datushka]]),0)*1</f>
        <v>13590</v>
      </c>
      <c r="C47" s="4">
        <f>GLW(TRIM(Table2_2[[#This Row],[Datushka]]),1)*1</f>
        <v>10220</v>
      </c>
      <c r="D47" s="4">
        <f>GLW(TRIM(Table2_2[[#This Row],[Datushka]]),2)*1</f>
        <v>23810</v>
      </c>
      <c r="E47" s="4">
        <f>SUM($D$2:D47)</f>
        <v>465114</v>
      </c>
    </row>
    <row r="48" spans="1:5" x14ac:dyDescent="0.25">
      <c r="A48" s="4" t="s">
        <v>51</v>
      </c>
      <c r="B48" s="4">
        <f>GLW(TRIM(Table2_2[[#This Row],[Datushka]]),0)*1</f>
        <v>10632</v>
      </c>
      <c r="C48" s="4">
        <f>GLW(TRIM(Table2_2[[#This Row],[Datushka]]),1)*1</f>
        <v>7872</v>
      </c>
      <c r="D48" s="4">
        <f>GLW(TRIM(Table2_2[[#This Row],[Datushka]]),2)*1</f>
        <v>18504</v>
      </c>
      <c r="E48" s="4">
        <f>SUM($D$2:D48)</f>
        <v>483618</v>
      </c>
    </row>
    <row r="49" spans="1:5" x14ac:dyDescent="0.25">
      <c r="A49" s="4" t="s">
        <v>52</v>
      </c>
      <c r="B49" s="4">
        <f>GLW(TRIM(Table2_2[[#This Row],[Datushka]]),0)*1</f>
        <v>6378</v>
      </c>
      <c r="C49" s="4">
        <f>GLW(TRIM(Table2_2[[#This Row],[Datushka]]),1)*1</f>
        <v>5904</v>
      </c>
      <c r="D49" s="4">
        <f>GLW(TRIM(Table2_2[[#This Row],[Datushka]]),2)*1</f>
        <v>12282</v>
      </c>
      <c r="E49" s="4">
        <f>SUM($D$2:D49)</f>
        <v>495900</v>
      </c>
    </row>
    <row r="50" spans="1:5" x14ac:dyDescent="0.25">
      <c r="A50" s="4" t="s">
        <v>53</v>
      </c>
      <c r="B50" s="4">
        <f>GLW(TRIM(Table2_2[[#This Row],[Datushka]]),0)*1</f>
        <v>6415</v>
      </c>
      <c r="C50" s="4">
        <f>GLW(TRIM(Table2_2[[#This Row],[Datushka]]),1)*1</f>
        <v>5110</v>
      </c>
      <c r="D50" s="4">
        <f>GLW(TRIM(Table2_2[[#This Row],[Datushka]]),2)*1</f>
        <v>11525</v>
      </c>
      <c r="E50" s="4">
        <f>SUM($D$2:D50)</f>
        <v>507425</v>
      </c>
    </row>
    <row r="51" spans="1:5" x14ac:dyDescent="0.25">
      <c r="A51" s="4" t="s">
        <v>54</v>
      </c>
      <c r="B51" s="4">
        <f>GLW(TRIM(Table2_2[[#This Row],[Datushka]]),0)*1</f>
        <v>10720</v>
      </c>
      <c r="C51" s="4">
        <f>GLW(TRIM(Table2_2[[#This Row],[Datushka]]),1)*1</f>
        <v>10220</v>
      </c>
      <c r="D51" s="4">
        <f>GLW(TRIM(Table2_2[[#This Row],[Datushka]]),2)*1</f>
        <v>20940</v>
      </c>
      <c r="E51" s="4">
        <f>SUM($D$2:D51)</f>
        <v>528365</v>
      </c>
    </row>
    <row r="52" spans="1:5" x14ac:dyDescent="0.25">
      <c r="A52" s="4" t="s">
        <v>55</v>
      </c>
      <c r="B52" s="4">
        <f>GLW(TRIM(Table2_2[[#This Row],[Datushka]]),0)*1</f>
        <v>1273</v>
      </c>
      <c r="C52" s="4">
        <f>GLW(TRIM(Table2_2[[#This Row],[Datushka]]),1)*1</f>
        <v>984</v>
      </c>
      <c r="D52" s="4">
        <f>GLW(TRIM(Table2_2[[#This Row],[Datushka]]),2)*1</f>
        <v>2257</v>
      </c>
      <c r="E52" s="4">
        <f>SUM($D$2:D52)</f>
        <v>530622</v>
      </c>
    </row>
    <row r="53" spans="1:5" x14ac:dyDescent="0.25">
      <c r="A53" s="4" t="s">
        <v>56</v>
      </c>
      <c r="B53" s="4">
        <f>GLW(TRIM(Table2_2[[#This Row],[Datushka]]),0)*1</f>
        <v>6216</v>
      </c>
      <c r="C53" s="4">
        <f>GLW(TRIM(Table2_2[[#This Row],[Datushka]]),1)*1</f>
        <v>5929</v>
      </c>
      <c r="D53" s="4">
        <f>GLW(TRIM(Table2_2[[#This Row],[Datushka]]),2)*1</f>
        <v>12145</v>
      </c>
      <c r="E53" s="4">
        <f>SUM($D$2:D53)</f>
        <v>542767</v>
      </c>
    </row>
    <row r="54" spans="1:5" x14ac:dyDescent="0.25">
      <c r="A54" s="4" t="s">
        <v>57</v>
      </c>
      <c r="B54" s="4">
        <f>GLW(TRIM(Table2_2[[#This Row],[Datushka]]),0)*1</f>
        <v>12460</v>
      </c>
      <c r="C54" s="4">
        <f>GLW(TRIM(Table2_2[[#This Row],[Datushka]]),1)*1</f>
        <v>10220</v>
      </c>
      <c r="D54" s="4">
        <f>GLW(TRIM(Table2_2[[#This Row],[Datushka]]),2)*1</f>
        <v>22680</v>
      </c>
      <c r="E54" s="4">
        <f>SUM($D$2:D54)</f>
        <v>565447</v>
      </c>
    </row>
    <row r="55" spans="1:5" x14ac:dyDescent="0.25">
      <c r="A55" s="4" t="s">
        <v>58</v>
      </c>
      <c r="B55" s="4">
        <f>GLW(TRIM(Table2_2[[#This Row],[Datushka]]),0)*1</f>
        <v>7302</v>
      </c>
      <c r="C55" s="4">
        <f>GLW(TRIM(Table2_2[[#This Row],[Datushka]]),1)*1</f>
        <v>5904</v>
      </c>
      <c r="D55" s="4">
        <f>GLW(TRIM(Table2_2[[#This Row],[Datushka]]),2)*1</f>
        <v>13206</v>
      </c>
      <c r="E55" s="4">
        <f>SUM($D$2:D55)</f>
        <v>578653</v>
      </c>
    </row>
    <row r="56" spans="1:5" x14ac:dyDescent="0.25">
      <c r="A56" s="4" t="s">
        <v>59</v>
      </c>
      <c r="B56" s="4">
        <f>GLW(TRIM(Table2_2[[#This Row],[Datushka]]),0)*1</f>
        <v>11754</v>
      </c>
      <c r="C56" s="4">
        <f>GLW(TRIM(Table2_2[[#This Row],[Datushka]]),1)*1</f>
        <v>8856</v>
      </c>
      <c r="D56" s="4">
        <f>GLW(TRIM(Table2_2[[#This Row],[Datushka]]),2)*1</f>
        <v>20610</v>
      </c>
      <c r="E56" s="4">
        <f>SUM($D$2:D56)</f>
        <v>599263</v>
      </c>
    </row>
    <row r="57" spans="1:5" x14ac:dyDescent="0.25">
      <c r="A57" s="4" t="s">
        <v>60</v>
      </c>
      <c r="B57" s="4">
        <f>GLW(TRIM(Table2_2[[#This Row],[Datushka]]),0)*1</f>
        <v>10213</v>
      </c>
      <c r="C57" s="4">
        <f>GLW(TRIM(Table2_2[[#This Row],[Datushka]]),1)*1</f>
        <v>7154</v>
      </c>
      <c r="D57" s="4">
        <f>GLW(TRIM(Table2_2[[#This Row],[Datushka]]),2)*1</f>
        <v>17367</v>
      </c>
      <c r="E57" s="4">
        <f>SUM($D$2:D57)</f>
        <v>616630</v>
      </c>
    </row>
    <row r="58" spans="1:5" x14ac:dyDescent="0.25">
      <c r="A58" s="4" t="s">
        <v>61</v>
      </c>
      <c r="B58" s="4">
        <f>GLW(TRIM(Table2_2[[#This Row],[Datushka]]),0)*1</f>
        <v>14920</v>
      </c>
      <c r="C58" s="4">
        <f>GLW(TRIM(Table2_2[[#This Row],[Datushka]]),1)*1</f>
        <v>10220</v>
      </c>
      <c r="D58" s="4">
        <f>GLW(TRIM(Table2_2[[#This Row],[Datushka]]),2)*1</f>
        <v>25140</v>
      </c>
      <c r="E58" s="4">
        <f>SUM($D$2:D58)</f>
        <v>641770</v>
      </c>
    </row>
    <row r="59" spans="1:5" x14ac:dyDescent="0.25">
      <c r="A59" s="4" t="s">
        <v>62</v>
      </c>
      <c r="B59" s="4">
        <f>GLW(TRIM(Table2_2[[#This Row],[Datushka]]),0)*1</f>
        <v>8586</v>
      </c>
      <c r="C59" s="4">
        <f>GLW(TRIM(Table2_2[[#This Row],[Datushka]]),1)*1</f>
        <v>7623</v>
      </c>
      <c r="D59" s="4">
        <f>GLW(TRIM(Table2_2[[#This Row],[Datushka]]),2)*1</f>
        <v>16209</v>
      </c>
      <c r="E59" s="4">
        <f>SUM($D$2:D59)</f>
        <v>657979</v>
      </c>
    </row>
    <row r="60" spans="1:5" x14ac:dyDescent="0.25">
      <c r="A60" s="4" t="s">
        <v>63</v>
      </c>
      <c r="B60" s="4">
        <f>GLW(TRIM(Table2_2[[#This Row],[Datushka]]),0)*1</f>
        <v>4772</v>
      </c>
      <c r="C60" s="4">
        <f>GLW(TRIM(Table2_2[[#This Row],[Datushka]]),1)*1</f>
        <v>3936</v>
      </c>
      <c r="D60" s="4">
        <f>GLW(TRIM(Table2_2[[#This Row],[Datushka]]),2)*1</f>
        <v>8708</v>
      </c>
      <c r="E60" s="4">
        <f>SUM($D$2:D60)</f>
        <v>666687</v>
      </c>
    </row>
    <row r="61" spans="1:5" x14ac:dyDescent="0.25">
      <c r="A61" s="4" t="s">
        <v>64</v>
      </c>
      <c r="B61" s="4">
        <f>GLW(TRIM(Table2_2[[#This Row],[Datushka]]),0)*1</f>
        <v>2570</v>
      </c>
      <c r="C61" s="4">
        <f>GLW(TRIM(Table2_2[[#This Row],[Datushka]]),1)*1</f>
        <v>2044</v>
      </c>
      <c r="D61" s="4">
        <f>GLW(TRIM(Table2_2[[#This Row],[Datushka]]),2)*1</f>
        <v>4614</v>
      </c>
      <c r="E61" s="4">
        <f>SUM($D$2:D61)</f>
        <v>671301</v>
      </c>
    </row>
    <row r="62" spans="1:5" x14ac:dyDescent="0.25">
      <c r="A62" s="4" t="s">
        <v>65</v>
      </c>
      <c r="B62" s="4">
        <f>GLW(TRIM(Table2_2[[#This Row],[Datushka]]),0)*1</f>
        <v>6840</v>
      </c>
      <c r="C62" s="4">
        <f>GLW(TRIM(Table2_2[[#This Row],[Datushka]]),1)*1</f>
        <v>5082</v>
      </c>
      <c r="D62" s="4">
        <f>GLW(TRIM(Table2_2[[#This Row],[Datushka]]),2)*1</f>
        <v>11922</v>
      </c>
      <c r="E62" s="4">
        <f>SUM($D$2:D62)</f>
        <v>683223</v>
      </c>
    </row>
    <row r="63" spans="1:5" x14ac:dyDescent="0.25">
      <c r="A63" s="4" t="s">
        <v>66</v>
      </c>
      <c r="B63" s="4">
        <f>GLW(TRIM(Table2_2[[#This Row],[Datushka]]),0)*1</f>
        <v>10270</v>
      </c>
      <c r="C63" s="4">
        <f>GLW(TRIM(Table2_2[[#This Row],[Datushka]]),1)*1</f>
        <v>10220</v>
      </c>
      <c r="D63" s="4">
        <f>GLW(TRIM(Table2_2[[#This Row],[Datushka]]),2)*1</f>
        <v>20490</v>
      </c>
      <c r="E63" s="4">
        <f>SUM($D$2:D63)</f>
        <v>703713</v>
      </c>
    </row>
    <row r="64" spans="1:5" x14ac:dyDescent="0.25">
      <c r="A64" s="4" t="s">
        <v>67</v>
      </c>
      <c r="B64" s="4">
        <f>GLW(TRIM(Table2_2[[#This Row],[Datushka]]),0)*1</f>
        <v>12258</v>
      </c>
      <c r="C64" s="4">
        <f>GLW(TRIM(Table2_2[[#This Row],[Datushka]]),1)*1</f>
        <v>9198</v>
      </c>
      <c r="D64" s="4">
        <f>GLW(TRIM(Table2_2[[#This Row],[Datushka]]),2)*1</f>
        <v>21456</v>
      </c>
      <c r="E64" s="4">
        <f>SUM($D$2:D64)</f>
        <v>725169</v>
      </c>
    </row>
    <row r="65" spans="1:5" x14ac:dyDescent="0.25">
      <c r="A65" s="4" t="s">
        <v>68</v>
      </c>
      <c r="B65" s="4">
        <f>GLW(TRIM(Table2_2[[#This Row],[Datushka]]),0)*1</f>
        <v>5335</v>
      </c>
      <c r="C65" s="4">
        <f>GLW(TRIM(Table2_2[[#This Row],[Datushka]]),1)*1</f>
        <v>5110</v>
      </c>
      <c r="D65" s="4">
        <f>GLW(TRIM(Table2_2[[#This Row],[Datushka]]),2)*1</f>
        <v>10445</v>
      </c>
      <c r="E65" s="4">
        <f>SUM($D$2:D65)</f>
        <v>735614</v>
      </c>
    </row>
    <row r="66" spans="1:5" x14ac:dyDescent="0.25">
      <c r="A66" s="4" t="s">
        <v>69</v>
      </c>
      <c r="B66" s="4">
        <f>GLW(TRIM(Table2_2[[#This Row],[Datushka]]),0)*1</f>
        <v>4532</v>
      </c>
      <c r="C66" s="4">
        <f>GLW(TRIM(Table2_2[[#This Row],[Datushka]]),1)*1</f>
        <v>4088</v>
      </c>
      <c r="D66" s="4">
        <f>GLW(TRIM(Table2_2[[#This Row],[Datushka]]),2)*1</f>
        <v>8620</v>
      </c>
      <c r="E66" s="4">
        <f>SUM($D$2:D66)</f>
        <v>744234</v>
      </c>
    </row>
    <row r="67" spans="1:5" x14ac:dyDescent="0.25">
      <c r="A67" s="4" t="s">
        <v>70</v>
      </c>
      <c r="B67" s="4">
        <f>GLW(TRIM(Table2_2[[#This Row],[Datushka]]),0)*1</f>
        <v>6940</v>
      </c>
      <c r="C67" s="4">
        <f>GLW(TRIM(Table2_2[[#This Row],[Datushka]]),1)*1</f>
        <v>4920</v>
      </c>
      <c r="D67" s="4">
        <f>GLW(TRIM(Table2_2[[#This Row],[Datushka]]),2)*1</f>
        <v>11860</v>
      </c>
      <c r="E67" s="4">
        <f>SUM($D$2:D67)</f>
        <v>756094</v>
      </c>
    </row>
    <row r="68" spans="1:5" x14ac:dyDescent="0.25">
      <c r="A68" s="4" t="s">
        <v>71</v>
      </c>
      <c r="B68" s="4">
        <f>GLW(TRIM(Table2_2[[#This Row],[Datushka]]),0)*1</f>
        <v>8568</v>
      </c>
      <c r="C68" s="4">
        <f>GLW(TRIM(Table2_2[[#This Row],[Datushka]]),1)*1</f>
        <v>5904</v>
      </c>
      <c r="D68" s="4">
        <f>GLW(TRIM(Table2_2[[#This Row],[Datushka]]),2)*1</f>
        <v>14472</v>
      </c>
      <c r="E68" s="4">
        <f>SUM($D$2:D68)</f>
        <v>770566</v>
      </c>
    </row>
    <row r="69" spans="1:5" x14ac:dyDescent="0.25">
      <c r="A69" s="4" t="s">
        <v>72</v>
      </c>
      <c r="B69" s="4">
        <f>GLW(TRIM(Table2_2[[#This Row],[Datushka]]),0)*1</f>
        <v>2218</v>
      </c>
      <c r="C69" s="4">
        <f>GLW(TRIM(Table2_2[[#This Row],[Datushka]]),1)*1</f>
        <v>2044</v>
      </c>
      <c r="D69" s="4">
        <f>GLW(TRIM(Table2_2[[#This Row],[Datushka]]),2)*1</f>
        <v>4262</v>
      </c>
      <c r="E69" s="4">
        <f>SUM($D$2:D69)</f>
        <v>774828</v>
      </c>
    </row>
    <row r="70" spans="1:5" x14ac:dyDescent="0.25">
      <c r="A70" s="4" t="s">
        <v>73</v>
      </c>
      <c r="B70" s="4">
        <f>GLW(TRIM(Table2_2[[#This Row],[Datushka]]),0)*1</f>
        <v>6545</v>
      </c>
      <c r="C70" s="4">
        <f>GLW(TRIM(Table2_2[[#This Row],[Datushka]]),1)*1</f>
        <v>5929</v>
      </c>
      <c r="D70" s="4">
        <f>GLW(TRIM(Table2_2[[#This Row],[Datushka]]),2)*1</f>
        <v>12474</v>
      </c>
      <c r="E70" s="4">
        <f>SUM($D$2:D70)</f>
        <v>787302</v>
      </c>
    </row>
    <row r="71" spans="1:5" x14ac:dyDescent="0.25">
      <c r="A71" s="4" t="s">
        <v>74</v>
      </c>
      <c r="B71" s="4">
        <f>GLW(TRIM(Table2_2[[#This Row],[Datushka]]),0)*1</f>
        <v>8208</v>
      </c>
      <c r="C71" s="4">
        <f>GLW(TRIM(Table2_2[[#This Row],[Datushka]]),1)*1</f>
        <v>6776</v>
      </c>
      <c r="D71" s="4">
        <f>GLW(TRIM(Table2_2[[#This Row],[Datushka]]),2)*1</f>
        <v>14984</v>
      </c>
      <c r="E71" s="4">
        <f>SUM($D$2:D71)</f>
        <v>802286</v>
      </c>
    </row>
    <row r="72" spans="1:5" x14ac:dyDescent="0.25">
      <c r="A72" s="4" t="s">
        <v>75</v>
      </c>
      <c r="B72" s="4">
        <f>GLW(TRIM(Table2_2[[#This Row],[Datushka]]),0)*1</f>
        <v>2316</v>
      </c>
      <c r="C72" s="4">
        <f>GLW(TRIM(Table2_2[[#This Row],[Datushka]]),1)*1</f>
        <v>1694</v>
      </c>
      <c r="D72" s="4">
        <f>GLW(TRIM(Table2_2[[#This Row],[Datushka]]),2)*1</f>
        <v>4010</v>
      </c>
      <c r="E72" s="4">
        <f>SUM($D$2:D72)</f>
        <v>806296</v>
      </c>
    </row>
    <row r="73" spans="1:5" x14ac:dyDescent="0.25">
      <c r="A73" s="4" t="s">
        <v>76</v>
      </c>
      <c r="B73" s="4">
        <f>GLW(TRIM(Table2_2[[#This Row],[Datushka]]),0)*1</f>
        <v>1020</v>
      </c>
      <c r="C73" s="4">
        <f>GLW(TRIM(Table2_2[[#This Row],[Datushka]]),1)*1</f>
        <v>984</v>
      </c>
      <c r="D73" s="4">
        <f>GLW(TRIM(Table2_2[[#This Row],[Datushka]]),2)*1</f>
        <v>2004</v>
      </c>
      <c r="E73" s="4">
        <f>SUM($D$2:D73)</f>
        <v>808300</v>
      </c>
    </row>
    <row r="74" spans="1:5" x14ac:dyDescent="0.25">
      <c r="A74" s="4" t="s">
        <v>77</v>
      </c>
      <c r="B74" s="4">
        <f>GLW(TRIM(Table2_2[[#This Row],[Datushka]]),0)*1</f>
        <v>5920</v>
      </c>
      <c r="C74" s="4">
        <f>GLW(TRIM(Table2_2[[#This Row],[Datushka]]),1)*1</f>
        <v>4235</v>
      </c>
      <c r="D74" s="4">
        <f>GLW(TRIM(Table2_2[[#This Row],[Datushka]]),2)*1</f>
        <v>10155</v>
      </c>
      <c r="E74" s="4">
        <f>SUM($D$2:D74)</f>
        <v>818455</v>
      </c>
    </row>
    <row r="75" spans="1:5" x14ac:dyDescent="0.25">
      <c r="A75" s="4" t="s">
        <v>78</v>
      </c>
      <c r="B75" s="4">
        <f>GLW(TRIM(Table2_2[[#This Row],[Datushka]]),0)*1</f>
        <v>1374</v>
      </c>
      <c r="C75" s="4">
        <f>GLW(TRIM(Table2_2[[#This Row],[Datushka]]),1)*1</f>
        <v>984</v>
      </c>
      <c r="D75" s="4">
        <f>GLW(TRIM(Table2_2[[#This Row],[Datushka]]),2)*1</f>
        <v>2358</v>
      </c>
      <c r="E75" s="4">
        <f>SUM($D$2:D75)</f>
        <v>820813</v>
      </c>
    </row>
    <row r="76" spans="1:5" x14ac:dyDescent="0.25">
      <c r="A76" s="4" t="s">
        <v>79</v>
      </c>
      <c r="B76" s="4">
        <f>GLW(TRIM(Table2_2[[#This Row],[Datushka]]),0)*1</f>
        <v>2786</v>
      </c>
      <c r="C76" s="4">
        <f>GLW(TRIM(Table2_2[[#This Row],[Datushka]]),1)*1</f>
        <v>1968</v>
      </c>
      <c r="D76" s="4">
        <f>GLW(TRIM(Table2_2[[#This Row],[Datushka]]),2)*1</f>
        <v>4754</v>
      </c>
      <c r="E76" s="4">
        <f>SUM($D$2:D76)</f>
        <v>825567</v>
      </c>
    </row>
    <row r="77" spans="1:5" x14ac:dyDescent="0.25">
      <c r="A77" s="4" t="s">
        <v>80</v>
      </c>
      <c r="B77" s="4">
        <f>GLW(TRIM(Table2_2[[#This Row],[Datushka]]),0)*1</f>
        <v>7395</v>
      </c>
      <c r="C77" s="4">
        <f>GLW(TRIM(Table2_2[[#This Row],[Datushka]]),1)*1</f>
        <v>5110</v>
      </c>
      <c r="D77" s="4">
        <f>GLW(TRIM(Table2_2[[#This Row],[Datushka]]),2)*1</f>
        <v>12505</v>
      </c>
      <c r="E77" s="4">
        <f>SUM($D$2:D77)</f>
        <v>838072</v>
      </c>
    </row>
    <row r="78" spans="1:5" x14ac:dyDescent="0.25">
      <c r="A78" s="4" t="s">
        <v>81</v>
      </c>
      <c r="B78" s="4">
        <f>GLW(TRIM(Table2_2[[#This Row],[Datushka]]),0)*1</f>
        <v>10647</v>
      </c>
      <c r="C78" s="4">
        <f>GLW(TRIM(Table2_2[[#This Row],[Datushka]]),1)*1</f>
        <v>8856</v>
      </c>
      <c r="D78" s="4">
        <f>GLW(TRIM(Table2_2[[#This Row],[Datushka]]),2)*1</f>
        <v>19503</v>
      </c>
      <c r="E78" s="4">
        <f>SUM($D$2:D78)</f>
        <v>857575</v>
      </c>
    </row>
    <row r="79" spans="1:5" x14ac:dyDescent="0.25">
      <c r="A79" s="4" t="s">
        <v>82</v>
      </c>
      <c r="B79" s="4">
        <f>GLW(TRIM(Table2_2[[#This Row],[Datushka]]),0)*1</f>
        <v>1287</v>
      </c>
      <c r="C79" s="4">
        <f>GLW(TRIM(Table2_2[[#This Row],[Datushka]]),1)*1</f>
        <v>1022</v>
      </c>
      <c r="D79" s="4">
        <f>GLW(TRIM(Table2_2[[#This Row],[Datushka]]),2)*1</f>
        <v>2309</v>
      </c>
      <c r="E79" s="4">
        <f>SUM($D$2:D79)</f>
        <v>859884</v>
      </c>
    </row>
    <row r="80" spans="1:5" x14ac:dyDescent="0.25">
      <c r="A80" s="4" t="s">
        <v>83</v>
      </c>
      <c r="B80" s="4">
        <f>GLW(TRIM(Table2_2[[#This Row],[Datushka]]),0)*1</f>
        <v>1156</v>
      </c>
      <c r="C80" s="4">
        <f>GLW(TRIM(Table2_2[[#This Row],[Datushka]]),1)*1</f>
        <v>1022</v>
      </c>
      <c r="D80" s="4">
        <f>GLW(TRIM(Table2_2[[#This Row],[Datushka]]),2)*1</f>
        <v>2178</v>
      </c>
      <c r="E80" s="4">
        <f>SUM($D$2:D80)</f>
        <v>862062</v>
      </c>
    </row>
    <row r="81" spans="1:5" x14ac:dyDescent="0.25">
      <c r="A81" s="4" t="s">
        <v>84</v>
      </c>
      <c r="B81" s="4">
        <f>GLW(TRIM(Table2_2[[#This Row],[Datushka]]),0)*1</f>
        <v>857</v>
      </c>
      <c r="C81" s="4">
        <f>GLW(TRIM(Table2_2[[#This Row],[Datushka]]),1)*1</f>
        <v>847</v>
      </c>
      <c r="D81" s="4">
        <f>GLW(TRIM(Table2_2[[#This Row],[Datushka]]),2)*1</f>
        <v>1704</v>
      </c>
      <c r="E81" s="4">
        <f>SUM($D$2:D81)</f>
        <v>863766</v>
      </c>
    </row>
    <row r="82" spans="1:5" x14ac:dyDescent="0.25">
      <c r="A82" s="4" t="s">
        <v>85</v>
      </c>
      <c r="B82" s="4">
        <f>GLW(TRIM(Table2_2[[#This Row],[Datushka]]),0)*1</f>
        <v>972</v>
      </c>
      <c r="C82" s="4">
        <f>GLW(TRIM(Table2_2[[#This Row],[Datushka]]),1)*1</f>
        <v>847</v>
      </c>
      <c r="D82" s="4">
        <f>GLW(TRIM(Table2_2[[#This Row],[Datushka]]),2)*1</f>
        <v>1819</v>
      </c>
      <c r="E82" s="4">
        <f>SUM($D$2:D82)</f>
        <v>865585</v>
      </c>
    </row>
    <row r="83" spans="1:5" x14ac:dyDescent="0.25">
      <c r="A83" s="4" t="s">
        <v>86</v>
      </c>
      <c r="B83" s="4">
        <f>GLW(TRIM(Table2_2[[#This Row],[Datushka]]),0)*1</f>
        <v>1110</v>
      </c>
      <c r="C83" s="4">
        <f>GLW(TRIM(Table2_2[[#This Row],[Datushka]]),1)*1</f>
        <v>847</v>
      </c>
      <c r="D83" s="4">
        <f>GLW(TRIM(Table2_2[[#This Row],[Datushka]]),2)*1</f>
        <v>1957</v>
      </c>
      <c r="E83" s="4">
        <f>SUM($D$2:D83)</f>
        <v>867542</v>
      </c>
    </row>
    <row r="84" spans="1:5" x14ac:dyDescent="0.25">
      <c r="A84" s="4" t="s">
        <v>87</v>
      </c>
      <c r="B84" s="4">
        <f>GLW(TRIM(Table2_2[[#This Row],[Datushka]]),0)*1</f>
        <v>4239</v>
      </c>
      <c r="C84" s="4">
        <f>GLW(TRIM(Table2_2[[#This Row],[Datushka]]),1)*1</f>
        <v>3066</v>
      </c>
      <c r="D84" s="4">
        <f>GLW(TRIM(Table2_2[[#This Row],[Datushka]]),2)*1</f>
        <v>7305</v>
      </c>
      <c r="E84" s="4">
        <f>SUM($D$2:D84)</f>
        <v>874847</v>
      </c>
    </row>
    <row r="85" spans="1:5" x14ac:dyDescent="0.25">
      <c r="A85" s="4" t="s">
        <v>88</v>
      </c>
      <c r="B85" s="4">
        <f>GLW(TRIM(Table2_2[[#This Row],[Datushka]]),0)*1</f>
        <v>2080</v>
      </c>
      <c r="C85" s="4">
        <f>GLW(TRIM(Table2_2[[#This Row],[Datushka]]),1)*1</f>
        <v>2044</v>
      </c>
      <c r="D85" s="4">
        <f>GLW(TRIM(Table2_2[[#This Row],[Datushka]]),2)*1</f>
        <v>4124</v>
      </c>
      <c r="E85" s="4">
        <f>SUM($D$2:D85)</f>
        <v>878971</v>
      </c>
    </row>
    <row r="86" spans="1:5" x14ac:dyDescent="0.25">
      <c r="A86" s="4" t="s">
        <v>89</v>
      </c>
      <c r="B86" s="4">
        <f>GLW(TRIM(Table2_2[[#This Row],[Datushka]]),0)*1</f>
        <v>5825</v>
      </c>
      <c r="C86" s="4">
        <f>GLW(TRIM(Table2_2[[#This Row],[Datushka]]),1)*1</f>
        <v>5110</v>
      </c>
      <c r="D86" s="4">
        <f>GLW(TRIM(Table2_2[[#This Row],[Datushka]]),2)*1</f>
        <v>10935</v>
      </c>
      <c r="E86" s="4">
        <f>SUM($D$2:D86)</f>
        <v>889906</v>
      </c>
    </row>
    <row r="87" spans="1:5" x14ac:dyDescent="0.25">
      <c r="A87" s="4" t="s">
        <v>90</v>
      </c>
      <c r="B87" s="4">
        <f>GLW(TRIM(Table2_2[[#This Row],[Datushka]]),0)*1</f>
        <v>1122</v>
      </c>
      <c r="C87" s="4">
        <f>GLW(TRIM(Table2_2[[#This Row],[Datushka]]),1)*1</f>
        <v>984</v>
      </c>
      <c r="D87" s="4">
        <f>GLW(TRIM(Table2_2[[#This Row],[Datushka]]),2)*1</f>
        <v>2106</v>
      </c>
      <c r="E87" s="4">
        <f>SUM($D$2:D87)</f>
        <v>892012</v>
      </c>
    </row>
    <row r="88" spans="1:5" x14ac:dyDescent="0.25">
      <c r="A88" s="4" t="s">
        <v>91</v>
      </c>
      <c r="B88" s="4">
        <f>GLW(TRIM(Table2_2[[#This Row],[Datushka]]),0)*1</f>
        <v>972</v>
      </c>
      <c r="C88" s="4">
        <f>GLW(TRIM(Table2_2[[#This Row],[Datushka]]),1)*1</f>
        <v>847</v>
      </c>
      <c r="D88" s="4">
        <f>GLW(TRIM(Table2_2[[#This Row],[Datushka]]),2)*1</f>
        <v>1819</v>
      </c>
      <c r="E88" s="4">
        <f>SUM($D$2:D88)</f>
        <v>893831</v>
      </c>
    </row>
    <row r="89" spans="1:5" x14ac:dyDescent="0.25">
      <c r="A89" s="4" t="s">
        <v>92</v>
      </c>
      <c r="B89" s="4">
        <f>GLW(TRIM(Table2_2[[#This Row],[Datushka]]),0)*1</f>
        <v>6855</v>
      </c>
      <c r="C89" s="4">
        <f>GLW(TRIM(Table2_2[[#This Row],[Datushka]]),1)*1</f>
        <v>5110</v>
      </c>
      <c r="D89" s="4">
        <f>GLW(TRIM(Table2_2[[#This Row],[Datushka]]),2)*1</f>
        <v>11965</v>
      </c>
      <c r="E89" s="4">
        <f>SUM($D$2:D89)</f>
        <v>905796</v>
      </c>
    </row>
    <row r="90" spans="1:5" x14ac:dyDescent="0.25">
      <c r="A90" s="4" t="s">
        <v>93</v>
      </c>
      <c r="B90" s="4">
        <f>GLW(TRIM(Table2_2[[#This Row],[Datushka]]),0)*1</f>
        <v>14210</v>
      </c>
      <c r="C90" s="4">
        <f>GLW(TRIM(Table2_2[[#This Row],[Datushka]]),1)*1</f>
        <v>10220</v>
      </c>
      <c r="D90" s="4">
        <f>GLW(TRIM(Table2_2[[#This Row],[Datushka]]),2)*1</f>
        <v>24430</v>
      </c>
      <c r="E90" s="4">
        <f>SUM($D$2:D90)</f>
        <v>930226</v>
      </c>
    </row>
    <row r="91" spans="1:5" x14ac:dyDescent="0.25">
      <c r="A91" s="4" t="s">
        <v>94</v>
      </c>
      <c r="B91" s="4">
        <f>GLW(TRIM(Table2_2[[#This Row],[Datushka]]),0)*1</f>
        <v>5152</v>
      </c>
      <c r="C91" s="4">
        <f>GLW(TRIM(Table2_2[[#This Row],[Datushka]]),1)*1</f>
        <v>4088</v>
      </c>
      <c r="D91" s="4">
        <f>GLW(TRIM(Table2_2[[#This Row],[Datushka]]),2)*1</f>
        <v>9240</v>
      </c>
      <c r="E91" s="4">
        <f>SUM($D$2:D91)</f>
        <v>939466</v>
      </c>
    </row>
    <row r="92" spans="1:5" x14ac:dyDescent="0.25">
      <c r="A92" s="4" t="s">
        <v>95</v>
      </c>
      <c r="B92" s="4">
        <f>GLW(TRIM(Table2_2[[#This Row],[Datushka]]),0)*1</f>
        <v>1321</v>
      </c>
      <c r="C92" s="4">
        <f>GLW(TRIM(Table2_2[[#This Row],[Datushka]]),1)*1</f>
        <v>1022</v>
      </c>
      <c r="D92" s="4">
        <f>GLW(TRIM(Table2_2[[#This Row],[Datushka]]),2)*1</f>
        <v>2343</v>
      </c>
      <c r="E92" s="4">
        <f>SUM($D$2:D92)</f>
        <v>941809</v>
      </c>
    </row>
    <row r="93" spans="1:5" x14ac:dyDescent="0.25">
      <c r="A93" s="4" t="s">
        <v>96</v>
      </c>
      <c r="B93" s="4">
        <f>GLW(TRIM(Table2_2[[#This Row],[Datushka]]),0)*1</f>
        <v>2558</v>
      </c>
      <c r="C93" s="4">
        <f>GLW(TRIM(Table2_2[[#This Row],[Datushka]]),1)*1</f>
        <v>1968</v>
      </c>
      <c r="D93" s="4">
        <f>GLW(TRIM(Table2_2[[#This Row],[Datushka]]),2)*1</f>
        <v>4526</v>
      </c>
      <c r="E93" s="4">
        <f>SUM($D$2:D93)</f>
        <v>946335</v>
      </c>
    </row>
    <row r="94" spans="1:5" x14ac:dyDescent="0.25">
      <c r="A94" s="4" t="s">
        <v>97</v>
      </c>
      <c r="B94" s="4">
        <f>GLW(TRIM(Table2_2[[#This Row],[Datushka]]),0)*1</f>
        <v>4728</v>
      </c>
      <c r="C94" s="4">
        <f>GLW(TRIM(Table2_2[[#This Row],[Datushka]]),1)*1</f>
        <v>3388</v>
      </c>
      <c r="D94" s="4">
        <f>GLW(TRIM(Table2_2[[#This Row],[Datushka]]),2)*1</f>
        <v>8116</v>
      </c>
      <c r="E94" s="4">
        <f>SUM($D$2:D94)</f>
        <v>954451</v>
      </c>
    </row>
    <row r="95" spans="1:5" x14ac:dyDescent="0.25">
      <c r="A95" s="4" t="s">
        <v>98</v>
      </c>
      <c r="B95" s="4">
        <f>GLW(TRIM(Table2_2[[#This Row],[Datushka]]),0)*1</f>
        <v>2904</v>
      </c>
      <c r="C95" s="4">
        <f>GLW(TRIM(Table2_2[[#This Row],[Datushka]]),1)*1</f>
        <v>2044</v>
      </c>
      <c r="D95" s="4">
        <f>GLW(TRIM(Table2_2[[#This Row],[Datushka]]),2)*1</f>
        <v>4948</v>
      </c>
      <c r="E95" s="4">
        <f>SUM($D$2:D95)</f>
        <v>959399</v>
      </c>
    </row>
    <row r="96" spans="1:5" x14ac:dyDescent="0.25">
      <c r="A96" s="4" t="s">
        <v>99</v>
      </c>
      <c r="B96" s="4">
        <f>GLW(TRIM(Table2_2[[#This Row],[Datushka]]),0)*1</f>
        <v>2898</v>
      </c>
      <c r="C96" s="4">
        <f>GLW(TRIM(Table2_2[[#This Row],[Datushka]]),1)*1</f>
        <v>1968</v>
      </c>
      <c r="D96" s="4">
        <f>GLW(TRIM(Table2_2[[#This Row],[Datushka]]),2)*1</f>
        <v>4866</v>
      </c>
      <c r="E96" s="4">
        <f>SUM($D$2:D96)</f>
        <v>964265</v>
      </c>
    </row>
    <row r="97" spans="1:5" x14ac:dyDescent="0.25">
      <c r="A97" s="4" t="s">
        <v>100</v>
      </c>
      <c r="B97" s="4">
        <f>GLW(TRIM(Table2_2[[#This Row],[Datushka]]),0)*1</f>
        <v>9585</v>
      </c>
      <c r="C97" s="4">
        <f>GLW(TRIM(Table2_2[[#This Row],[Datushka]]),1)*1</f>
        <v>9198</v>
      </c>
      <c r="D97" s="4">
        <f>GLW(TRIM(Table2_2[[#This Row],[Datushka]]),2)*1</f>
        <v>18783</v>
      </c>
      <c r="E97" s="4">
        <f>SUM($D$2:D97)</f>
        <v>983048</v>
      </c>
    </row>
    <row r="98" spans="1:5" x14ac:dyDescent="0.25">
      <c r="A98" s="4" t="s">
        <v>101</v>
      </c>
      <c r="B98" s="4">
        <f>GLW(TRIM(Table2_2[[#This Row],[Datushka]]),0)*1</f>
        <v>2162</v>
      </c>
      <c r="C98" s="4">
        <f>GLW(TRIM(Table2_2[[#This Row],[Datushka]]),1)*1</f>
        <v>1694</v>
      </c>
      <c r="D98" s="4">
        <f>GLW(TRIM(Table2_2[[#This Row],[Datushka]]),2)*1</f>
        <v>3856</v>
      </c>
      <c r="E98" s="4">
        <f>SUM($D$2:D98)</f>
        <v>986904</v>
      </c>
    </row>
    <row r="99" spans="1:5" x14ac:dyDescent="0.25">
      <c r="A99" s="4" t="s">
        <v>102</v>
      </c>
      <c r="B99" s="4">
        <f>GLW(TRIM(Table2_2[[#This Row],[Datushka]]),0)*1</f>
        <v>6775</v>
      </c>
      <c r="C99" s="4">
        <f>GLW(TRIM(Table2_2[[#This Row],[Datushka]]),1)*1</f>
        <v>4920</v>
      </c>
      <c r="D99" s="4">
        <f>GLW(TRIM(Table2_2[[#This Row],[Datushka]]),2)*1</f>
        <v>11695</v>
      </c>
      <c r="E99" s="4">
        <f>SUM($D$2:D99)</f>
        <v>998599</v>
      </c>
    </row>
    <row r="100" spans="1:5" x14ac:dyDescent="0.25">
      <c r="A100" s="4" t="s">
        <v>103</v>
      </c>
      <c r="B100" s="4">
        <f>GLW(TRIM(Table2_2[[#This Row],[Datushka]]),0)*1</f>
        <v>1288</v>
      </c>
      <c r="C100" s="4">
        <f>GLW(TRIM(Table2_2[[#This Row],[Datushka]]),1)*1</f>
        <v>984</v>
      </c>
      <c r="D100" s="4">
        <f>GLW(TRIM(Table2_2[[#This Row],[Datushka]]),2)*1</f>
        <v>2272</v>
      </c>
      <c r="E100" s="4">
        <f>SUM($D$2:D100)</f>
        <v>1000871</v>
      </c>
    </row>
    <row r="101" spans="1:5" x14ac:dyDescent="0.25">
      <c r="A101" s="4" t="s">
        <v>104</v>
      </c>
      <c r="B101" s="4">
        <f>GLW(TRIM(Table2_2[[#This Row],[Datushka]]),0)*1</f>
        <v>9920</v>
      </c>
      <c r="C101" s="4">
        <f>GLW(TRIM(Table2_2[[#This Row],[Datushka]]),1)*1</f>
        <v>6776</v>
      </c>
      <c r="D101" s="4">
        <f>GLW(TRIM(Table2_2[[#This Row],[Datushka]]),2)*1</f>
        <v>16696</v>
      </c>
      <c r="E101" s="4">
        <f>SUM($D$2:D101)</f>
        <v>1017567</v>
      </c>
    </row>
    <row r="102" spans="1:5" x14ac:dyDescent="0.25">
      <c r="A102" s="4" t="s">
        <v>105</v>
      </c>
      <c r="B102" s="4">
        <f>GLW(TRIM(Table2_2[[#This Row],[Datushka]]),0)*1</f>
        <v>1525</v>
      </c>
      <c r="C102" s="4">
        <f>GLW(TRIM(Table2_2[[#This Row],[Datushka]]),1)*1</f>
        <v>1022</v>
      </c>
      <c r="D102" s="4">
        <f>GLW(TRIM(Table2_2[[#This Row],[Datushka]]),2)*1</f>
        <v>2547</v>
      </c>
      <c r="E102" s="4">
        <f>SUM($D$2:D102)</f>
        <v>1020114</v>
      </c>
    </row>
    <row r="103" spans="1:5" x14ac:dyDescent="0.25">
      <c r="A103" s="4" t="s">
        <v>5</v>
      </c>
      <c r="B103" s="4">
        <f>GLW(TRIM(Table2_2[[#This Row],[Datushka]]),0)*1</f>
        <v>3666</v>
      </c>
      <c r="C103" s="4">
        <f>GLW(TRIM(Table2_2[[#This Row],[Datushka]]),1)*1</f>
        <v>2541</v>
      </c>
      <c r="D103" s="4">
        <f>GLW(TRIM(Table2_2[[#This Row],[Datushka]]),2)*1</f>
        <v>6207</v>
      </c>
      <c r="E103" s="4">
        <f>SUM($D$2:D103)</f>
        <v>1026321</v>
      </c>
    </row>
    <row r="104" spans="1:5" x14ac:dyDescent="0.25">
      <c r="A104" s="4" t="s">
        <v>6</v>
      </c>
      <c r="B104" s="4">
        <f>GLW(TRIM(Table2_2[[#This Row],[Datushka]]),0)*1</f>
        <v>7524</v>
      </c>
      <c r="C104" s="4">
        <f>GLW(TRIM(Table2_2[[#This Row],[Datushka]]),1)*1</f>
        <v>5082</v>
      </c>
      <c r="D104" s="4">
        <f>GLW(TRIM(Table2_2[[#This Row],[Datushka]]),2)*1</f>
        <v>12606</v>
      </c>
      <c r="E104" s="4">
        <f>SUM($D$2:D104)</f>
        <v>1038927</v>
      </c>
    </row>
    <row r="105" spans="1:5" x14ac:dyDescent="0.25">
      <c r="A105" s="4" t="s">
        <v>7</v>
      </c>
      <c r="B105" s="4">
        <f>GLW(TRIM(Table2_2[[#This Row],[Datushka]]),0)*1</f>
        <v>3288</v>
      </c>
      <c r="C105" s="4">
        <f>GLW(TRIM(Table2_2[[#This Row],[Datushka]]),1)*1</f>
        <v>2952</v>
      </c>
      <c r="D105" s="4">
        <f>GLW(TRIM(Table2_2[[#This Row],[Datushka]]),2)*1</f>
        <v>6240</v>
      </c>
      <c r="E105" s="4">
        <f>SUM($D$2:D105)</f>
        <v>1045167</v>
      </c>
    </row>
    <row r="106" spans="1:5" x14ac:dyDescent="0.25">
      <c r="A106" s="4" t="s">
        <v>8</v>
      </c>
      <c r="B106" s="4">
        <f>GLW(TRIM(Table2_2[[#This Row],[Datushka]]),0)*1</f>
        <v>12300</v>
      </c>
      <c r="C106" s="4">
        <f>GLW(TRIM(Table2_2[[#This Row],[Datushka]]),1)*1</f>
        <v>8470</v>
      </c>
      <c r="D106" s="4">
        <f>GLW(TRIM(Table2_2[[#This Row],[Datushka]]),2)*1</f>
        <v>20770</v>
      </c>
      <c r="E106" s="4">
        <f>SUM($D$2:D106)</f>
        <v>1065937</v>
      </c>
    </row>
    <row r="107" spans="1:5" x14ac:dyDescent="0.25">
      <c r="A107" s="4" t="s">
        <v>9</v>
      </c>
      <c r="B107" s="4">
        <f>GLW(TRIM(Table2_2[[#This Row],[Datushka]]),0)*1</f>
        <v>4740</v>
      </c>
      <c r="C107" s="4">
        <f>GLW(TRIM(Table2_2[[#This Row],[Datushka]]),1)*1</f>
        <v>3388</v>
      </c>
      <c r="D107" s="4">
        <f>GLW(TRIM(Table2_2[[#This Row],[Datushka]]),2)*1</f>
        <v>8128</v>
      </c>
      <c r="E107" s="4">
        <f>SUM($D$2:D107)</f>
        <v>1074065</v>
      </c>
    </row>
    <row r="108" spans="1:5" x14ac:dyDescent="0.25">
      <c r="A108" s="4" t="s">
        <v>10</v>
      </c>
      <c r="B108" s="4">
        <f>GLW(TRIM(Table2_2[[#This Row],[Datushka]]),0)*1</f>
        <v>1035</v>
      </c>
      <c r="C108" s="4">
        <f>GLW(TRIM(Table2_2[[#This Row],[Datushka]]),1)*1</f>
        <v>847</v>
      </c>
      <c r="D108" s="4">
        <f>GLW(TRIM(Table2_2[[#This Row],[Datushka]]),2)*1</f>
        <v>1882</v>
      </c>
      <c r="E108" s="4">
        <f>SUM($D$2:D108)</f>
        <v>1075947</v>
      </c>
    </row>
    <row r="109" spans="1:5" x14ac:dyDescent="0.25">
      <c r="A109" s="4" t="s">
        <v>11</v>
      </c>
      <c r="B109" s="4">
        <f>GLW(TRIM(Table2_2[[#This Row],[Datushka]]),0)*1</f>
        <v>1247</v>
      </c>
      <c r="C109" s="4">
        <f>GLW(TRIM(Table2_2[[#This Row],[Datushka]]),1)*1</f>
        <v>984</v>
      </c>
      <c r="D109" s="4">
        <f>GLW(TRIM(Table2_2[[#This Row],[Datushka]]),2)*1</f>
        <v>2231</v>
      </c>
      <c r="E109" s="4">
        <f>SUM($D$2:D109)</f>
        <v>1078178</v>
      </c>
    </row>
    <row r="110" spans="1:5" x14ac:dyDescent="0.25">
      <c r="A110" s="4" t="s">
        <v>12</v>
      </c>
      <c r="B110" s="4">
        <f>GLW(TRIM(Table2_2[[#This Row],[Datushka]]),0)*1</f>
        <v>6210</v>
      </c>
      <c r="C110" s="4">
        <f>GLW(TRIM(Table2_2[[#This Row],[Datushka]]),1)*1</f>
        <v>4235</v>
      </c>
      <c r="D110" s="4">
        <f>GLW(TRIM(Table2_2[[#This Row],[Datushka]]),2)*1</f>
        <v>10445</v>
      </c>
      <c r="E110" s="4">
        <f>SUM($D$2:D110)</f>
        <v>1088623</v>
      </c>
    </row>
    <row r="111" spans="1:5" x14ac:dyDescent="0.25">
      <c r="A111" s="4" t="s">
        <v>13</v>
      </c>
      <c r="B111" s="4">
        <f>GLW(TRIM(Table2_2[[#This Row],[Datushka]]),0)*1</f>
        <v>1070</v>
      </c>
      <c r="C111" s="4">
        <f>GLW(TRIM(Table2_2[[#This Row],[Datushka]]),1)*1</f>
        <v>984</v>
      </c>
      <c r="D111" s="4">
        <f>GLW(TRIM(Table2_2[[#This Row],[Datushka]]),2)*1</f>
        <v>2054</v>
      </c>
      <c r="E111" s="4">
        <f>SUM($D$2:D111)</f>
        <v>1090677</v>
      </c>
    </row>
    <row r="112" spans="1:5" x14ac:dyDescent="0.25">
      <c r="A112" s="4" t="s">
        <v>14</v>
      </c>
      <c r="B112" s="4">
        <f>GLW(TRIM(Table2_2[[#This Row],[Datushka]]),0)*1</f>
        <v>7448</v>
      </c>
      <c r="C112" s="4">
        <f>GLW(TRIM(Table2_2[[#This Row],[Datushka]]),1)*1</f>
        <v>6776</v>
      </c>
      <c r="D112" s="4">
        <f>GLW(TRIM(Table2_2[[#This Row],[Datushka]]),2)*1</f>
        <v>14224</v>
      </c>
      <c r="E112" s="4">
        <f>SUM($D$2:D112)</f>
        <v>1104901</v>
      </c>
    </row>
    <row r="113" spans="1:5" x14ac:dyDescent="0.25">
      <c r="A113" s="4" t="s">
        <v>15</v>
      </c>
      <c r="B113" s="4">
        <f>GLW(TRIM(Table2_2[[#This Row],[Datushka]]),0)*1</f>
        <v>3748</v>
      </c>
      <c r="C113" s="4">
        <f>GLW(TRIM(Table2_2[[#This Row],[Datushka]]),1)*1</f>
        <v>3388</v>
      </c>
      <c r="D113" s="4">
        <f>GLW(TRIM(Table2_2[[#This Row],[Datushka]]),2)*1</f>
        <v>7136</v>
      </c>
      <c r="E113" s="4">
        <f>SUM($D$2:D113)</f>
        <v>1112037</v>
      </c>
    </row>
    <row r="114" spans="1:5" x14ac:dyDescent="0.25">
      <c r="A114" s="4" t="s">
        <v>16</v>
      </c>
      <c r="B114" s="4">
        <f>GLW(TRIM(Table2_2[[#This Row],[Datushka]]),0)*1</f>
        <v>10262</v>
      </c>
      <c r="C114" s="4">
        <f>GLW(TRIM(Table2_2[[#This Row],[Datushka]]),1)*1</f>
        <v>6888</v>
      </c>
      <c r="D114" s="4">
        <f>GLW(TRIM(Table2_2[[#This Row],[Datushka]]),2)*1</f>
        <v>17150</v>
      </c>
      <c r="E114" s="4">
        <f>SUM($D$2:D114)</f>
        <v>1129187</v>
      </c>
    </row>
    <row r="115" spans="1:5" x14ac:dyDescent="0.25">
      <c r="A115" s="4" t="s">
        <v>17</v>
      </c>
      <c r="B115" s="4">
        <f>GLW(TRIM(Table2_2[[#This Row],[Datushka]]),0)*1</f>
        <v>3762</v>
      </c>
      <c r="C115" s="4">
        <f>GLW(TRIM(Table2_2[[#This Row],[Datushka]]),1)*1</f>
        <v>2952</v>
      </c>
      <c r="D115" s="4">
        <f>GLW(TRIM(Table2_2[[#This Row],[Datushka]]),2)*1</f>
        <v>6714</v>
      </c>
      <c r="E115" s="4">
        <f>SUM($D$2:D115)</f>
        <v>1135901</v>
      </c>
    </row>
    <row r="116" spans="1:5" x14ac:dyDescent="0.25">
      <c r="A116" s="4" t="s">
        <v>18</v>
      </c>
      <c r="B116" s="4">
        <f>GLW(TRIM(Table2_2[[#This Row],[Datushka]]),0)*1</f>
        <v>5956</v>
      </c>
      <c r="C116" s="4">
        <f>GLW(TRIM(Table2_2[[#This Row],[Datushka]]),1)*1</f>
        <v>4088</v>
      </c>
      <c r="D116" s="4">
        <f>GLW(TRIM(Table2_2[[#This Row],[Datushka]]),2)*1</f>
        <v>10044</v>
      </c>
      <c r="E116" s="4">
        <f>SUM($D$2:D116)</f>
        <v>1145945</v>
      </c>
    </row>
    <row r="117" spans="1:5" x14ac:dyDescent="0.25">
      <c r="A117" s="4" t="s">
        <v>19</v>
      </c>
      <c r="B117" s="4">
        <f>GLW(TRIM(Table2_2[[#This Row],[Datushka]]),0)*1</f>
        <v>10780</v>
      </c>
      <c r="C117" s="4">
        <f>GLW(TRIM(Table2_2[[#This Row],[Datushka]]),1)*1</f>
        <v>8470</v>
      </c>
      <c r="D117" s="4">
        <f>GLW(TRIM(Table2_2[[#This Row],[Datushka]]),2)*1</f>
        <v>19250</v>
      </c>
      <c r="E117" s="4">
        <f>SUM($D$2:D117)</f>
        <v>1165195</v>
      </c>
    </row>
    <row r="118" spans="1:5" x14ac:dyDescent="0.25">
      <c r="A118" s="4" t="s">
        <v>20</v>
      </c>
      <c r="B118" s="4">
        <f>GLW(TRIM(Table2_2[[#This Row],[Datushka]]),0)*1</f>
        <v>8864</v>
      </c>
      <c r="C118" s="4">
        <f>GLW(TRIM(Table2_2[[#This Row],[Datushka]]),1)*1</f>
        <v>6776</v>
      </c>
      <c r="D118" s="4">
        <f>GLW(TRIM(Table2_2[[#This Row],[Datushka]]),2)*1</f>
        <v>15640</v>
      </c>
      <c r="E118" s="4">
        <f>SUM($D$2:D118)</f>
        <v>1180835</v>
      </c>
    </row>
    <row r="119" spans="1:5" x14ac:dyDescent="0.25">
      <c r="A119" s="4" t="s">
        <v>21</v>
      </c>
      <c r="B119" s="4">
        <f>GLW(TRIM(Table2_2[[#This Row],[Datushka]]),0)*1</f>
        <v>6768</v>
      </c>
      <c r="C119" s="4">
        <f>GLW(TRIM(Table2_2[[#This Row],[Datushka]]),1)*1</f>
        <v>5904</v>
      </c>
      <c r="D119" s="4">
        <f>GLW(TRIM(Table2_2[[#This Row],[Datushka]]),2)*1</f>
        <v>12672</v>
      </c>
      <c r="E119" s="4">
        <f>SUM($D$2:D119)</f>
        <v>1193507</v>
      </c>
    </row>
    <row r="120" spans="1:5" x14ac:dyDescent="0.25">
      <c r="A120" s="4" t="s">
        <v>22</v>
      </c>
      <c r="B120" s="4">
        <f>GLW(TRIM(Table2_2[[#This Row],[Datushka]]),0)*1</f>
        <v>2991</v>
      </c>
      <c r="C120" s="4">
        <f>GLW(TRIM(Table2_2[[#This Row],[Datushka]]),1)*1</f>
        <v>2541</v>
      </c>
      <c r="D120" s="4">
        <f>GLW(TRIM(Table2_2[[#This Row],[Datushka]]),2)*1</f>
        <v>5532</v>
      </c>
      <c r="E120" s="4">
        <f>SUM($D$2:D120)</f>
        <v>1199039</v>
      </c>
    </row>
    <row r="121" spans="1:5" x14ac:dyDescent="0.25">
      <c r="A121" s="4" t="s">
        <v>23</v>
      </c>
      <c r="B121" s="4">
        <f>GLW(TRIM(Table2_2[[#This Row],[Datushka]]),0)*1</f>
        <v>2772</v>
      </c>
      <c r="C121" s="4">
        <f>GLW(TRIM(Table2_2[[#This Row],[Datushka]]),1)*1</f>
        <v>1968</v>
      </c>
      <c r="D121" s="4">
        <f>GLW(TRIM(Table2_2[[#This Row],[Datushka]]),2)*1</f>
        <v>4740</v>
      </c>
      <c r="E121" s="4">
        <f>SUM($D$2:D121)</f>
        <v>1203779</v>
      </c>
    </row>
    <row r="122" spans="1:5" x14ac:dyDescent="0.25">
      <c r="A122" s="4" t="s">
        <v>24</v>
      </c>
      <c r="B122" s="4">
        <f>GLW(TRIM(Table2_2[[#This Row],[Datushka]]),0)*1</f>
        <v>1165</v>
      </c>
      <c r="C122" s="4">
        <f>GLW(TRIM(Table2_2[[#This Row],[Datushka]]),1)*1</f>
        <v>847</v>
      </c>
      <c r="D122" s="4">
        <f>GLW(TRIM(Table2_2[[#This Row],[Datushka]]),2)*1</f>
        <v>2012</v>
      </c>
      <c r="E122" s="4">
        <f>SUM($D$2:D122)</f>
        <v>1205791</v>
      </c>
    </row>
    <row r="123" spans="1:5" x14ac:dyDescent="0.25">
      <c r="A123" s="4" t="s">
        <v>25</v>
      </c>
      <c r="B123" s="4">
        <f>GLW(TRIM(Table2_2[[#This Row],[Datushka]]),0)*1</f>
        <v>9288</v>
      </c>
      <c r="C123" s="4">
        <f>GLW(TRIM(Table2_2[[#This Row],[Datushka]]),1)*1</f>
        <v>7872</v>
      </c>
      <c r="D123" s="4">
        <f>GLW(TRIM(Table2_2[[#This Row],[Datushka]]),2)*1</f>
        <v>17160</v>
      </c>
      <c r="E123" s="4">
        <f>SUM($D$2:D123)</f>
        <v>1222951</v>
      </c>
    </row>
    <row r="124" spans="1:5" x14ac:dyDescent="0.25">
      <c r="A124" s="4" t="s">
        <v>26</v>
      </c>
      <c r="B124" s="4">
        <f>GLW(TRIM(Table2_2[[#This Row],[Datushka]]),0)*1</f>
        <v>7385</v>
      </c>
      <c r="C124" s="4">
        <f>GLW(TRIM(Table2_2[[#This Row],[Datushka]]),1)*1</f>
        <v>5929</v>
      </c>
      <c r="D124" s="4">
        <f>GLW(TRIM(Table2_2[[#This Row],[Datushka]]),2)*1</f>
        <v>13314</v>
      </c>
      <c r="E124" s="4">
        <f>SUM($D$2:D124)</f>
        <v>1236265</v>
      </c>
    </row>
    <row r="125" spans="1:5" x14ac:dyDescent="0.25">
      <c r="A125" s="4" t="s">
        <v>27</v>
      </c>
      <c r="B125" s="4">
        <f>GLW(TRIM(Table2_2[[#This Row],[Datushka]]),0)*1</f>
        <v>2312</v>
      </c>
      <c r="C125" s="4">
        <f>GLW(TRIM(Table2_2[[#This Row],[Datushka]]),1)*1</f>
        <v>1968</v>
      </c>
      <c r="D125" s="4">
        <f>GLW(TRIM(Table2_2[[#This Row],[Datushka]]),2)*1</f>
        <v>4280</v>
      </c>
      <c r="E125" s="4">
        <f>SUM($D$2:D125)</f>
        <v>1240545</v>
      </c>
    </row>
    <row r="126" spans="1:5" x14ac:dyDescent="0.25">
      <c r="A126" s="4" t="s">
        <v>28</v>
      </c>
      <c r="B126" s="4">
        <f>GLW(TRIM(Table2_2[[#This Row],[Datushka]]),0)*1</f>
        <v>12852</v>
      </c>
      <c r="C126" s="4">
        <f>GLW(TRIM(Table2_2[[#This Row],[Datushka]]),1)*1</f>
        <v>8856</v>
      </c>
      <c r="D126" s="4">
        <f>GLW(TRIM(Table2_2[[#This Row],[Datushka]]),2)*1</f>
        <v>21708</v>
      </c>
      <c r="E126" s="4">
        <f>SUM($D$2:D126)</f>
        <v>1262253</v>
      </c>
    </row>
    <row r="127" spans="1:5" x14ac:dyDescent="0.25">
      <c r="A127" s="4" t="s">
        <v>29</v>
      </c>
      <c r="B127" s="4">
        <f>GLW(TRIM(Table2_2[[#This Row],[Datushka]]),0)*1</f>
        <v>11420</v>
      </c>
      <c r="C127" s="4">
        <f>GLW(TRIM(Table2_2[[#This Row],[Datushka]]),1)*1</f>
        <v>8470</v>
      </c>
      <c r="D127" s="4">
        <f>GLW(TRIM(Table2_2[[#This Row],[Datushka]]),2)*1</f>
        <v>19890</v>
      </c>
      <c r="E127" s="4">
        <f>SUM($D$2:D127)</f>
        <v>1282143</v>
      </c>
    </row>
    <row r="128" spans="1:5" x14ac:dyDescent="0.25">
      <c r="A128" s="4" t="s">
        <v>30</v>
      </c>
      <c r="B128" s="4">
        <f>GLW(TRIM(Table2_2[[#This Row],[Datushka]]),0)*1</f>
        <v>970</v>
      </c>
      <c r="C128" s="4">
        <f>GLW(TRIM(Table2_2[[#This Row],[Datushka]]),1)*1</f>
        <v>847</v>
      </c>
      <c r="D128" s="4">
        <f>GLW(TRIM(Table2_2[[#This Row],[Datushka]]),2)*1</f>
        <v>1817</v>
      </c>
      <c r="E128" s="4">
        <f>SUM($D$2:D128)</f>
        <v>1283960</v>
      </c>
    </row>
    <row r="129" spans="1:5" x14ac:dyDescent="0.25">
      <c r="A129" s="4" t="s">
        <v>31</v>
      </c>
      <c r="B129" s="4">
        <f>GLW(TRIM(Table2_2[[#This Row],[Datushka]]),0)*1</f>
        <v>3504</v>
      </c>
      <c r="C129" s="4">
        <f>GLW(TRIM(Table2_2[[#This Row],[Datushka]]),1)*1</f>
        <v>2541</v>
      </c>
      <c r="D129" s="4">
        <f>GLW(TRIM(Table2_2[[#This Row],[Datushka]]),2)*1</f>
        <v>6045</v>
      </c>
      <c r="E129" s="4">
        <f>SUM($D$2:D129)</f>
        <v>1290005</v>
      </c>
    </row>
    <row r="130" spans="1:5" x14ac:dyDescent="0.25">
      <c r="A130" s="4" t="s">
        <v>32</v>
      </c>
      <c r="B130" s="4">
        <f>GLW(TRIM(Table2_2[[#This Row],[Datushka]]),0)*1</f>
        <v>2616</v>
      </c>
      <c r="C130" s="4">
        <f>GLW(TRIM(Table2_2[[#This Row],[Datushka]]),1)*1</f>
        <v>2541</v>
      </c>
      <c r="D130" s="4">
        <f>GLW(TRIM(Table2_2[[#This Row],[Datushka]]),2)*1</f>
        <v>5157</v>
      </c>
      <c r="E130" s="4">
        <f>SUM($D$2:D130)</f>
        <v>1295162</v>
      </c>
    </row>
    <row r="131" spans="1:5" x14ac:dyDescent="0.25">
      <c r="A131" s="4" t="s">
        <v>33</v>
      </c>
      <c r="B131" s="4">
        <f>GLW(TRIM(Table2_2[[#This Row],[Datushka]]),0)*1</f>
        <v>3792</v>
      </c>
      <c r="C131" s="4">
        <f>GLW(TRIM(Table2_2[[#This Row],[Datushka]]),1)*1</f>
        <v>3388</v>
      </c>
      <c r="D131" s="4">
        <f>GLW(TRIM(Table2_2[[#This Row],[Datushka]]),2)*1</f>
        <v>7180</v>
      </c>
      <c r="E131" s="4">
        <f>SUM($D$2:D131)</f>
        <v>1302342</v>
      </c>
    </row>
    <row r="132" spans="1:5" x14ac:dyDescent="0.25">
      <c r="A132" s="4" t="s">
        <v>34</v>
      </c>
      <c r="B132" s="4">
        <f>GLW(TRIM(Table2_2[[#This Row],[Datushka]]),0)*1</f>
        <v>1465</v>
      </c>
      <c r="C132" s="4">
        <f>GLW(TRIM(Table2_2[[#This Row],[Datushka]]),1)*1</f>
        <v>1022</v>
      </c>
      <c r="D132" s="4">
        <f>GLW(TRIM(Table2_2[[#This Row],[Datushka]]),2)*1</f>
        <v>2487</v>
      </c>
      <c r="E132" s="4">
        <f>SUM($D$2:D132)</f>
        <v>1304829</v>
      </c>
    </row>
    <row r="133" spans="1:5" x14ac:dyDescent="0.25">
      <c r="A133" s="4" t="s">
        <v>35</v>
      </c>
      <c r="B133" s="4">
        <f>GLW(TRIM(Table2_2[[#This Row],[Datushka]]),0)*1</f>
        <v>6894</v>
      </c>
      <c r="C133" s="4">
        <f>GLW(TRIM(Table2_2[[#This Row],[Datushka]]),1)*1</f>
        <v>5904</v>
      </c>
      <c r="D133" s="4">
        <f>GLW(TRIM(Table2_2[[#This Row],[Datushka]]),2)*1</f>
        <v>12798</v>
      </c>
      <c r="E133" s="4">
        <f>SUM($D$2:D133)</f>
        <v>1317627</v>
      </c>
    </row>
    <row r="134" spans="1:5" x14ac:dyDescent="0.25">
      <c r="A134" s="4" t="s">
        <v>36</v>
      </c>
      <c r="B134" s="4">
        <f>GLW(TRIM(Table2_2[[#This Row],[Datushka]]),0)*1</f>
        <v>6979</v>
      </c>
      <c r="C134" s="4">
        <f>GLW(TRIM(Table2_2[[#This Row],[Datushka]]),1)*1</f>
        <v>6888</v>
      </c>
      <c r="D134" s="4">
        <f>GLW(TRIM(Table2_2[[#This Row],[Datushka]]),2)*1</f>
        <v>13867</v>
      </c>
      <c r="E134" s="4">
        <f>SUM($D$2:D134)</f>
        <v>1331494</v>
      </c>
    </row>
    <row r="135" spans="1:5" x14ac:dyDescent="0.25">
      <c r="A135" s="4" t="s">
        <v>37</v>
      </c>
      <c r="B135" s="4">
        <f>GLW(TRIM(Table2_2[[#This Row],[Datushka]]),0)*1</f>
        <v>1219</v>
      </c>
      <c r="C135" s="4">
        <f>GLW(TRIM(Table2_2[[#This Row],[Datushka]]),1)*1</f>
        <v>847</v>
      </c>
      <c r="D135" s="4">
        <f>GLW(TRIM(Table2_2[[#This Row],[Datushka]]),2)*1</f>
        <v>2066</v>
      </c>
      <c r="E135" s="4">
        <f>SUM($D$2:D135)</f>
        <v>1333560</v>
      </c>
    </row>
    <row r="136" spans="1:5" x14ac:dyDescent="0.25">
      <c r="A136" s="4" t="s">
        <v>38</v>
      </c>
      <c r="B136" s="4">
        <f>GLW(TRIM(Table2_2[[#This Row],[Datushka]]),0)*1</f>
        <v>8760</v>
      </c>
      <c r="C136" s="4">
        <f>GLW(TRIM(Table2_2[[#This Row],[Datushka]]),1)*1</f>
        <v>8176</v>
      </c>
      <c r="D136" s="4">
        <f>GLW(TRIM(Table2_2[[#This Row],[Datushka]]),2)*1</f>
        <v>16936</v>
      </c>
      <c r="E136" s="4">
        <f>SUM($D$2:D136)</f>
        <v>1350496</v>
      </c>
    </row>
    <row r="137" spans="1:5" x14ac:dyDescent="0.25">
      <c r="A137" s="4" t="s">
        <v>39</v>
      </c>
      <c r="B137" s="4">
        <f>GLW(TRIM(Table2_2[[#This Row],[Datushka]]),0)*1</f>
        <v>2774</v>
      </c>
      <c r="C137" s="4">
        <f>GLW(TRIM(Table2_2[[#This Row],[Datushka]]),1)*1</f>
        <v>1968</v>
      </c>
      <c r="D137" s="4">
        <f>GLW(TRIM(Table2_2[[#This Row],[Datushka]]),2)*1</f>
        <v>4742</v>
      </c>
      <c r="E137" s="4">
        <f>SUM($D$2:D137)</f>
        <v>1355238</v>
      </c>
    </row>
    <row r="138" spans="1:5" x14ac:dyDescent="0.25">
      <c r="A138" s="4" t="s">
        <v>40</v>
      </c>
      <c r="B138" s="4">
        <f>GLW(TRIM(Table2_2[[#This Row],[Datushka]]),0)*1</f>
        <v>6348</v>
      </c>
      <c r="C138" s="4">
        <f>GLW(TRIM(Table2_2[[#This Row],[Datushka]]),1)*1</f>
        <v>5082</v>
      </c>
      <c r="D138" s="4">
        <f>GLW(TRIM(Table2_2[[#This Row],[Datushka]]),2)*1</f>
        <v>11430</v>
      </c>
      <c r="E138" s="4">
        <f>SUM($D$2:D138)</f>
        <v>1366668</v>
      </c>
    </row>
    <row r="139" spans="1:5" x14ac:dyDescent="0.25">
      <c r="A139" s="4" t="s">
        <v>41</v>
      </c>
      <c r="B139" s="4">
        <f>GLW(TRIM(Table2_2[[#This Row],[Datushka]]),0)*1</f>
        <v>2182</v>
      </c>
      <c r="C139" s="4">
        <f>GLW(TRIM(Table2_2[[#This Row],[Datushka]]),1)*1</f>
        <v>1694</v>
      </c>
      <c r="D139" s="4">
        <f>GLW(TRIM(Table2_2[[#This Row],[Datushka]]),2)*1</f>
        <v>3876</v>
      </c>
      <c r="E139" s="4">
        <f>SUM($D$2:D139)</f>
        <v>1370544</v>
      </c>
    </row>
    <row r="140" spans="1:5" x14ac:dyDescent="0.25">
      <c r="A140" s="4" t="s">
        <v>42</v>
      </c>
      <c r="B140" s="4">
        <f>GLW(TRIM(Table2_2[[#This Row],[Datushka]]),0)*1</f>
        <v>11780</v>
      </c>
      <c r="C140" s="4">
        <f>GLW(TRIM(Table2_2[[#This Row],[Datushka]]),1)*1</f>
        <v>8470</v>
      </c>
      <c r="D140" s="4">
        <f>GLW(TRIM(Table2_2[[#This Row],[Datushka]]),2)*1</f>
        <v>20250</v>
      </c>
      <c r="E140" s="4">
        <f>SUM($D$2:D140)</f>
        <v>1390794</v>
      </c>
    </row>
    <row r="141" spans="1:5" x14ac:dyDescent="0.25">
      <c r="A141" s="4" t="s">
        <v>43</v>
      </c>
      <c r="B141" s="4">
        <f>GLW(TRIM(Table2_2[[#This Row],[Datushka]]),0)*1</f>
        <v>1073</v>
      </c>
      <c r="C141" s="4">
        <f>GLW(TRIM(Table2_2[[#This Row],[Datushka]]),1)*1</f>
        <v>1022</v>
      </c>
      <c r="D141" s="4">
        <f>GLW(TRIM(Table2_2[[#This Row],[Datushka]]),2)*1</f>
        <v>2095</v>
      </c>
      <c r="E141" s="4">
        <f>SUM($D$2:D141)</f>
        <v>1392889</v>
      </c>
    </row>
    <row r="142" spans="1:5" x14ac:dyDescent="0.25">
      <c r="A142" s="4" t="s">
        <v>44</v>
      </c>
      <c r="B142" s="4">
        <f>GLW(TRIM(Table2_2[[#This Row],[Datushka]]),0)*1</f>
        <v>5152</v>
      </c>
      <c r="C142" s="4">
        <f>GLW(TRIM(Table2_2[[#This Row],[Datushka]]),1)*1</f>
        <v>3936</v>
      </c>
      <c r="D142" s="4">
        <f>GLW(TRIM(Table2_2[[#This Row],[Datushka]]),2)*1</f>
        <v>9088</v>
      </c>
      <c r="E142" s="4">
        <f>SUM($D$2:D142)</f>
        <v>1401977</v>
      </c>
    </row>
    <row r="143" spans="1:5" x14ac:dyDescent="0.25">
      <c r="A143" s="4" t="s">
        <v>45</v>
      </c>
      <c r="B143" s="4">
        <f>GLW(TRIM(Table2_2[[#This Row],[Datushka]]),0)*1</f>
        <v>6150</v>
      </c>
      <c r="C143" s="4">
        <f>GLW(TRIM(Table2_2[[#This Row],[Datushka]]),1)*1</f>
        <v>4235</v>
      </c>
      <c r="D143" s="4">
        <f>GLW(TRIM(Table2_2[[#This Row],[Datushka]]),2)*1</f>
        <v>10385</v>
      </c>
      <c r="E143" s="4">
        <f>SUM($D$2:D143)</f>
        <v>1412362</v>
      </c>
    </row>
    <row r="144" spans="1:5" x14ac:dyDescent="0.25">
      <c r="A144" s="4" t="s">
        <v>46</v>
      </c>
      <c r="B144" s="4">
        <f>GLW(TRIM(Table2_2[[#This Row],[Datushka]]),0)*1</f>
        <v>14860</v>
      </c>
      <c r="C144" s="4">
        <f>GLW(TRIM(Table2_2[[#This Row],[Datushka]]),1)*1</f>
        <v>10220</v>
      </c>
      <c r="D144" s="4">
        <f>GLW(TRIM(Table2_2[[#This Row],[Datushka]]),2)*1</f>
        <v>25080</v>
      </c>
      <c r="E144" s="4">
        <f>SUM($D$2:D144)</f>
        <v>1437442</v>
      </c>
    </row>
    <row r="145" spans="1:5" x14ac:dyDescent="0.25">
      <c r="A145" s="4" t="s">
        <v>47</v>
      </c>
      <c r="B145" s="4">
        <f>GLW(TRIM(Table2_2[[#This Row],[Datushka]]),0)*1</f>
        <v>3764</v>
      </c>
      <c r="C145" s="4">
        <f>GLW(TRIM(Table2_2[[#This Row],[Datushka]]),1)*1</f>
        <v>3388</v>
      </c>
      <c r="D145" s="4">
        <f>GLW(TRIM(Table2_2[[#This Row],[Datushka]]),2)*1</f>
        <v>7152</v>
      </c>
      <c r="E145" s="4">
        <f>SUM($D$2:D145)</f>
        <v>1444594</v>
      </c>
    </row>
    <row r="146" spans="1:5" x14ac:dyDescent="0.25">
      <c r="A146" s="4" t="s">
        <v>48</v>
      </c>
      <c r="B146" s="4">
        <f>GLW(TRIM(Table2_2[[#This Row],[Datushka]]),0)*1</f>
        <v>6042</v>
      </c>
      <c r="C146" s="4">
        <f>GLW(TRIM(Table2_2[[#This Row],[Datushka]]),1)*1</f>
        <v>5082</v>
      </c>
      <c r="D146" s="4">
        <f>GLW(TRIM(Table2_2[[#This Row],[Datushka]]),2)*1</f>
        <v>11124</v>
      </c>
      <c r="E146" s="4">
        <f>SUM($D$2:D146)</f>
        <v>1455718</v>
      </c>
    </row>
    <row r="147" spans="1:5" x14ac:dyDescent="0.25">
      <c r="A147" s="4" t="s">
        <v>49</v>
      </c>
      <c r="B147" s="4">
        <f>GLW(TRIM(Table2_2[[#This Row],[Datushka]]),0)*1</f>
        <v>3159</v>
      </c>
      <c r="C147" s="4">
        <f>GLW(TRIM(Table2_2[[#This Row],[Datushka]]),1)*1</f>
        <v>2541</v>
      </c>
      <c r="D147" s="4">
        <f>GLW(TRIM(Table2_2[[#This Row],[Datushka]]),2)*1</f>
        <v>5700</v>
      </c>
      <c r="E147" s="4">
        <f>SUM($D$2:D147)</f>
        <v>1461418</v>
      </c>
    </row>
    <row r="148" spans="1:5" x14ac:dyDescent="0.25">
      <c r="A148" s="4" t="s">
        <v>50</v>
      </c>
      <c r="B148" s="4">
        <f>GLW(TRIM(Table2_2[[#This Row],[Datushka]]),0)*1</f>
        <v>13590</v>
      </c>
      <c r="C148" s="4">
        <f>GLW(TRIM(Table2_2[[#This Row],[Datushka]]),1)*1</f>
        <v>10220</v>
      </c>
      <c r="D148" s="4">
        <f>GLW(TRIM(Table2_2[[#This Row],[Datushka]]),2)*1</f>
        <v>23810</v>
      </c>
      <c r="E148" s="4">
        <f>SUM($D$2:D148)</f>
        <v>1485228</v>
      </c>
    </row>
    <row r="149" spans="1:5" x14ac:dyDescent="0.25">
      <c r="A149" s="4" t="s">
        <v>51</v>
      </c>
      <c r="B149" s="4">
        <f>GLW(TRIM(Table2_2[[#This Row],[Datushka]]),0)*1</f>
        <v>10632</v>
      </c>
      <c r="C149" s="4">
        <f>GLW(TRIM(Table2_2[[#This Row],[Datushka]]),1)*1</f>
        <v>7872</v>
      </c>
      <c r="D149" s="4">
        <f>GLW(TRIM(Table2_2[[#This Row],[Datushka]]),2)*1</f>
        <v>18504</v>
      </c>
      <c r="E149" s="4">
        <f>SUM($D$2:D149)</f>
        <v>1503732</v>
      </c>
    </row>
    <row r="150" spans="1:5" x14ac:dyDescent="0.25">
      <c r="A150" s="4" t="s">
        <v>52</v>
      </c>
      <c r="B150" s="4">
        <f>GLW(TRIM(Table2_2[[#This Row],[Datushka]]),0)*1</f>
        <v>6378</v>
      </c>
      <c r="C150" s="4">
        <f>GLW(TRIM(Table2_2[[#This Row],[Datushka]]),1)*1</f>
        <v>5904</v>
      </c>
      <c r="D150" s="4">
        <f>GLW(TRIM(Table2_2[[#This Row],[Datushka]]),2)*1</f>
        <v>12282</v>
      </c>
      <c r="E150" s="4">
        <f>SUM($D$2:D150)</f>
        <v>1516014</v>
      </c>
    </row>
    <row r="151" spans="1:5" x14ac:dyDescent="0.25">
      <c r="A151" s="4" t="s">
        <v>53</v>
      </c>
      <c r="B151" s="4">
        <f>GLW(TRIM(Table2_2[[#This Row],[Datushka]]),0)*1</f>
        <v>6415</v>
      </c>
      <c r="C151" s="4">
        <f>GLW(TRIM(Table2_2[[#This Row],[Datushka]]),1)*1</f>
        <v>5110</v>
      </c>
      <c r="D151" s="4">
        <f>GLW(TRIM(Table2_2[[#This Row],[Datushka]]),2)*1</f>
        <v>11525</v>
      </c>
      <c r="E151" s="4">
        <f>SUM($D$2:D151)</f>
        <v>1527539</v>
      </c>
    </row>
    <row r="152" spans="1:5" x14ac:dyDescent="0.25">
      <c r="A152" s="4" t="s">
        <v>54</v>
      </c>
      <c r="B152" s="4">
        <f>GLW(TRIM(Table2_2[[#This Row],[Datushka]]),0)*1</f>
        <v>10720</v>
      </c>
      <c r="C152" s="4">
        <f>GLW(TRIM(Table2_2[[#This Row],[Datushka]]),1)*1</f>
        <v>10220</v>
      </c>
      <c r="D152" s="4">
        <f>GLW(TRIM(Table2_2[[#This Row],[Datushka]]),2)*1</f>
        <v>20940</v>
      </c>
      <c r="E152" s="4">
        <f>SUM($D$2:D152)</f>
        <v>1548479</v>
      </c>
    </row>
    <row r="153" spans="1:5" x14ac:dyDescent="0.25">
      <c r="A153" s="4" t="s">
        <v>55</v>
      </c>
      <c r="B153" s="4">
        <f>GLW(TRIM(Table2_2[[#This Row],[Datushka]]),0)*1</f>
        <v>1273</v>
      </c>
      <c r="C153" s="4">
        <f>GLW(TRIM(Table2_2[[#This Row],[Datushka]]),1)*1</f>
        <v>984</v>
      </c>
      <c r="D153" s="4">
        <f>GLW(TRIM(Table2_2[[#This Row],[Datushka]]),2)*1</f>
        <v>2257</v>
      </c>
      <c r="E153" s="4">
        <f>SUM($D$2:D153)</f>
        <v>1550736</v>
      </c>
    </row>
    <row r="154" spans="1:5" x14ac:dyDescent="0.25">
      <c r="A154" s="4" t="s">
        <v>56</v>
      </c>
      <c r="B154" s="4">
        <f>GLW(TRIM(Table2_2[[#This Row],[Datushka]]),0)*1</f>
        <v>6216</v>
      </c>
      <c r="C154" s="4">
        <f>GLW(TRIM(Table2_2[[#This Row],[Datushka]]),1)*1</f>
        <v>5929</v>
      </c>
      <c r="D154" s="4">
        <f>GLW(TRIM(Table2_2[[#This Row],[Datushka]]),2)*1</f>
        <v>12145</v>
      </c>
      <c r="E154" s="4">
        <f>SUM($D$2:D154)</f>
        <v>1562881</v>
      </c>
    </row>
    <row r="155" spans="1:5" x14ac:dyDescent="0.25">
      <c r="A155" s="4" t="s">
        <v>57</v>
      </c>
      <c r="B155" s="4">
        <f>GLW(TRIM(Table2_2[[#This Row],[Datushka]]),0)*1</f>
        <v>12460</v>
      </c>
      <c r="C155" s="4">
        <f>GLW(TRIM(Table2_2[[#This Row],[Datushka]]),1)*1</f>
        <v>10220</v>
      </c>
      <c r="D155" s="4">
        <f>GLW(TRIM(Table2_2[[#This Row],[Datushka]]),2)*1</f>
        <v>22680</v>
      </c>
      <c r="E155" s="4">
        <f>SUM($D$2:D155)</f>
        <v>1585561</v>
      </c>
    </row>
    <row r="156" spans="1:5" x14ac:dyDescent="0.25">
      <c r="A156" s="4" t="s">
        <v>58</v>
      </c>
      <c r="B156" s="4">
        <f>GLW(TRIM(Table2_2[[#This Row],[Datushka]]),0)*1</f>
        <v>7302</v>
      </c>
      <c r="C156" s="4">
        <f>GLW(TRIM(Table2_2[[#This Row],[Datushka]]),1)*1</f>
        <v>5904</v>
      </c>
      <c r="D156" s="4">
        <f>GLW(TRIM(Table2_2[[#This Row],[Datushka]]),2)*1</f>
        <v>13206</v>
      </c>
      <c r="E156" s="4">
        <f>SUM($D$2:D156)</f>
        <v>1598767</v>
      </c>
    </row>
    <row r="157" spans="1:5" x14ac:dyDescent="0.25">
      <c r="A157" s="4" t="s">
        <v>59</v>
      </c>
      <c r="B157" s="4">
        <f>GLW(TRIM(Table2_2[[#This Row],[Datushka]]),0)*1</f>
        <v>11754</v>
      </c>
      <c r="C157" s="4">
        <f>GLW(TRIM(Table2_2[[#This Row],[Datushka]]),1)*1</f>
        <v>8856</v>
      </c>
      <c r="D157" s="4">
        <f>GLW(TRIM(Table2_2[[#This Row],[Datushka]]),2)*1</f>
        <v>20610</v>
      </c>
      <c r="E157" s="4">
        <f>SUM($D$2:D157)</f>
        <v>1619377</v>
      </c>
    </row>
    <row r="158" spans="1:5" x14ac:dyDescent="0.25">
      <c r="A158" s="4" t="s">
        <v>60</v>
      </c>
      <c r="B158" s="4">
        <f>GLW(TRIM(Table2_2[[#This Row],[Datushka]]),0)*1</f>
        <v>10213</v>
      </c>
      <c r="C158" s="4">
        <f>GLW(TRIM(Table2_2[[#This Row],[Datushka]]),1)*1</f>
        <v>7154</v>
      </c>
      <c r="D158" s="4">
        <f>GLW(TRIM(Table2_2[[#This Row],[Datushka]]),2)*1</f>
        <v>17367</v>
      </c>
      <c r="E158" s="4">
        <f>SUM($D$2:D158)</f>
        <v>1636744</v>
      </c>
    </row>
    <row r="159" spans="1:5" x14ac:dyDescent="0.25">
      <c r="A159" s="4" t="s">
        <v>61</v>
      </c>
      <c r="B159" s="4">
        <f>GLW(TRIM(Table2_2[[#This Row],[Datushka]]),0)*1</f>
        <v>14920</v>
      </c>
      <c r="C159" s="4">
        <f>GLW(TRIM(Table2_2[[#This Row],[Datushka]]),1)*1</f>
        <v>10220</v>
      </c>
      <c r="D159" s="4">
        <f>GLW(TRIM(Table2_2[[#This Row],[Datushka]]),2)*1</f>
        <v>25140</v>
      </c>
      <c r="E159" s="4">
        <f>SUM($D$2:D159)</f>
        <v>1661884</v>
      </c>
    </row>
    <row r="160" spans="1:5" x14ac:dyDescent="0.25">
      <c r="A160" s="4" t="s">
        <v>62</v>
      </c>
      <c r="B160" s="4">
        <f>GLW(TRIM(Table2_2[[#This Row],[Datushka]]),0)*1</f>
        <v>8586</v>
      </c>
      <c r="C160" s="4">
        <f>GLW(TRIM(Table2_2[[#This Row],[Datushka]]),1)*1</f>
        <v>7623</v>
      </c>
      <c r="D160" s="4">
        <f>GLW(TRIM(Table2_2[[#This Row],[Datushka]]),2)*1</f>
        <v>16209</v>
      </c>
      <c r="E160" s="4">
        <f>SUM($D$2:D160)</f>
        <v>1678093</v>
      </c>
    </row>
    <row r="161" spans="1:5" x14ac:dyDescent="0.25">
      <c r="A161" s="4" t="s">
        <v>63</v>
      </c>
      <c r="B161" s="4">
        <f>GLW(TRIM(Table2_2[[#This Row],[Datushka]]),0)*1</f>
        <v>4772</v>
      </c>
      <c r="C161" s="4">
        <f>GLW(TRIM(Table2_2[[#This Row],[Datushka]]),1)*1</f>
        <v>3936</v>
      </c>
      <c r="D161" s="4">
        <f>GLW(TRIM(Table2_2[[#This Row],[Datushka]]),2)*1</f>
        <v>8708</v>
      </c>
      <c r="E161" s="4">
        <f>SUM($D$2:D161)</f>
        <v>1686801</v>
      </c>
    </row>
    <row r="162" spans="1:5" x14ac:dyDescent="0.25">
      <c r="A162" s="4" t="s">
        <v>64</v>
      </c>
      <c r="B162" s="4">
        <f>GLW(TRIM(Table2_2[[#This Row],[Datushka]]),0)*1</f>
        <v>2570</v>
      </c>
      <c r="C162" s="4">
        <f>GLW(TRIM(Table2_2[[#This Row],[Datushka]]),1)*1</f>
        <v>2044</v>
      </c>
      <c r="D162" s="4">
        <f>GLW(TRIM(Table2_2[[#This Row],[Datushka]]),2)*1</f>
        <v>4614</v>
      </c>
      <c r="E162" s="4">
        <f>SUM($D$2:D162)</f>
        <v>1691415</v>
      </c>
    </row>
    <row r="163" spans="1:5" x14ac:dyDescent="0.25">
      <c r="A163" s="4" t="s">
        <v>65</v>
      </c>
      <c r="B163" s="4">
        <f>GLW(TRIM(Table2_2[[#This Row],[Datushka]]),0)*1</f>
        <v>6840</v>
      </c>
      <c r="C163" s="4">
        <f>GLW(TRIM(Table2_2[[#This Row],[Datushka]]),1)*1</f>
        <v>5082</v>
      </c>
      <c r="D163" s="4">
        <f>GLW(TRIM(Table2_2[[#This Row],[Datushka]]),2)*1</f>
        <v>11922</v>
      </c>
      <c r="E163" s="4">
        <f>SUM($D$2:D163)</f>
        <v>1703337</v>
      </c>
    </row>
    <row r="164" spans="1:5" x14ac:dyDescent="0.25">
      <c r="A164" s="4" t="s">
        <v>66</v>
      </c>
      <c r="B164" s="4">
        <f>GLW(TRIM(Table2_2[[#This Row],[Datushka]]),0)*1</f>
        <v>10270</v>
      </c>
      <c r="C164" s="4">
        <f>GLW(TRIM(Table2_2[[#This Row],[Datushka]]),1)*1</f>
        <v>10220</v>
      </c>
      <c r="D164" s="4">
        <f>GLW(TRIM(Table2_2[[#This Row],[Datushka]]),2)*1</f>
        <v>20490</v>
      </c>
      <c r="E164" s="4">
        <f>SUM($D$2:D164)</f>
        <v>1723827</v>
      </c>
    </row>
    <row r="165" spans="1:5" x14ac:dyDescent="0.25">
      <c r="A165" s="4" t="s">
        <v>67</v>
      </c>
      <c r="B165" s="4">
        <f>GLW(TRIM(Table2_2[[#This Row],[Datushka]]),0)*1</f>
        <v>12258</v>
      </c>
      <c r="C165" s="4">
        <f>GLW(TRIM(Table2_2[[#This Row],[Datushka]]),1)*1</f>
        <v>9198</v>
      </c>
      <c r="D165" s="4">
        <f>GLW(TRIM(Table2_2[[#This Row],[Datushka]]),2)*1</f>
        <v>21456</v>
      </c>
      <c r="E165" s="4">
        <f>SUM($D$2:D165)</f>
        <v>1745283</v>
      </c>
    </row>
    <row r="166" spans="1:5" x14ac:dyDescent="0.25">
      <c r="A166" s="4" t="s">
        <v>68</v>
      </c>
      <c r="B166" s="4">
        <f>GLW(TRIM(Table2_2[[#This Row],[Datushka]]),0)*1</f>
        <v>5335</v>
      </c>
      <c r="C166" s="4">
        <f>GLW(TRIM(Table2_2[[#This Row],[Datushka]]),1)*1</f>
        <v>5110</v>
      </c>
      <c r="D166" s="4">
        <f>GLW(TRIM(Table2_2[[#This Row],[Datushka]]),2)*1</f>
        <v>10445</v>
      </c>
      <c r="E166" s="4">
        <f>SUM($D$2:D166)</f>
        <v>1755728</v>
      </c>
    </row>
    <row r="167" spans="1:5" x14ac:dyDescent="0.25">
      <c r="A167" s="4" t="s">
        <v>69</v>
      </c>
      <c r="B167" s="4">
        <f>GLW(TRIM(Table2_2[[#This Row],[Datushka]]),0)*1</f>
        <v>4532</v>
      </c>
      <c r="C167" s="4">
        <f>GLW(TRIM(Table2_2[[#This Row],[Datushka]]),1)*1</f>
        <v>4088</v>
      </c>
      <c r="D167" s="4">
        <f>GLW(TRIM(Table2_2[[#This Row],[Datushka]]),2)*1</f>
        <v>8620</v>
      </c>
      <c r="E167" s="4">
        <f>SUM($D$2:D167)</f>
        <v>1764348</v>
      </c>
    </row>
    <row r="168" spans="1:5" x14ac:dyDescent="0.25">
      <c r="A168" s="4" t="s">
        <v>70</v>
      </c>
      <c r="B168" s="4">
        <f>GLW(TRIM(Table2_2[[#This Row],[Datushka]]),0)*1</f>
        <v>6940</v>
      </c>
      <c r="C168" s="4">
        <f>GLW(TRIM(Table2_2[[#This Row],[Datushka]]),1)*1</f>
        <v>4920</v>
      </c>
      <c r="D168" s="4">
        <f>GLW(TRIM(Table2_2[[#This Row],[Datushka]]),2)*1</f>
        <v>11860</v>
      </c>
      <c r="E168" s="4">
        <f>SUM($D$2:D168)</f>
        <v>1776208</v>
      </c>
    </row>
    <row r="169" spans="1:5" x14ac:dyDescent="0.25">
      <c r="A169" s="4" t="s">
        <v>71</v>
      </c>
      <c r="B169" s="4">
        <f>GLW(TRIM(Table2_2[[#This Row],[Datushka]]),0)*1</f>
        <v>8568</v>
      </c>
      <c r="C169" s="4">
        <f>GLW(TRIM(Table2_2[[#This Row],[Datushka]]),1)*1</f>
        <v>5904</v>
      </c>
      <c r="D169" s="4">
        <f>GLW(TRIM(Table2_2[[#This Row],[Datushka]]),2)*1</f>
        <v>14472</v>
      </c>
      <c r="E169" s="4">
        <f>SUM($D$2:D169)</f>
        <v>1790680</v>
      </c>
    </row>
    <row r="170" spans="1:5" x14ac:dyDescent="0.25">
      <c r="A170" s="4" t="s">
        <v>72</v>
      </c>
      <c r="B170" s="4">
        <f>GLW(TRIM(Table2_2[[#This Row],[Datushka]]),0)*1</f>
        <v>2218</v>
      </c>
      <c r="C170" s="4">
        <f>GLW(TRIM(Table2_2[[#This Row],[Datushka]]),1)*1</f>
        <v>2044</v>
      </c>
      <c r="D170" s="4">
        <f>GLW(TRIM(Table2_2[[#This Row],[Datushka]]),2)*1</f>
        <v>4262</v>
      </c>
      <c r="E170" s="4">
        <f>SUM($D$2:D170)</f>
        <v>1794942</v>
      </c>
    </row>
    <row r="171" spans="1:5" x14ac:dyDescent="0.25">
      <c r="A171" s="4" t="s">
        <v>73</v>
      </c>
      <c r="B171" s="4">
        <f>GLW(TRIM(Table2_2[[#This Row],[Datushka]]),0)*1</f>
        <v>6545</v>
      </c>
      <c r="C171" s="4">
        <f>GLW(TRIM(Table2_2[[#This Row],[Datushka]]),1)*1</f>
        <v>5929</v>
      </c>
      <c r="D171" s="4">
        <f>GLW(TRIM(Table2_2[[#This Row],[Datushka]]),2)*1</f>
        <v>12474</v>
      </c>
      <c r="E171" s="4">
        <f>SUM($D$2:D171)</f>
        <v>1807416</v>
      </c>
    </row>
    <row r="172" spans="1:5" x14ac:dyDescent="0.25">
      <c r="A172" s="4" t="s">
        <v>74</v>
      </c>
      <c r="B172" s="4">
        <f>GLW(TRIM(Table2_2[[#This Row],[Datushka]]),0)*1</f>
        <v>8208</v>
      </c>
      <c r="C172" s="4">
        <f>GLW(TRIM(Table2_2[[#This Row],[Datushka]]),1)*1</f>
        <v>6776</v>
      </c>
      <c r="D172" s="4">
        <f>GLW(TRIM(Table2_2[[#This Row],[Datushka]]),2)*1</f>
        <v>14984</v>
      </c>
      <c r="E172" s="4">
        <f>SUM($D$2:D172)</f>
        <v>1822400</v>
      </c>
    </row>
    <row r="173" spans="1:5" x14ac:dyDescent="0.25">
      <c r="A173" s="4" t="s">
        <v>75</v>
      </c>
      <c r="B173" s="4">
        <f>GLW(TRIM(Table2_2[[#This Row],[Datushka]]),0)*1</f>
        <v>2316</v>
      </c>
      <c r="C173" s="4">
        <f>GLW(TRIM(Table2_2[[#This Row],[Datushka]]),1)*1</f>
        <v>1694</v>
      </c>
      <c r="D173" s="4">
        <f>GLW(TRIM(Table2_2[[#This Row],[Datushka]]),2)*1</f>
        <v>4010</v>
      </c>
      <c r="E173" s="4">
        <f>SUM($D$2:D173)</f>
        <v>1826410</v>
      </c>
    </row>
    <row r="174" spans="1:5" x14ac:dyDescent="0.25">
      <c r="A174" s="4" t="s">
        <v>76</v>
      </c>
      <c r="B174" s="4">
        <f>GLW(TRIM(Table2_2[[#This Row],[Datushka]]),0)*1</f>
        <v>1020</v>
      </c>
      <c r="C174" s="4">
        <f>GLW(TRIM(Table2_2[[#This Row],[Datushka]]),1)*1</f>
        <v>984</v>
      </c>
      <c r="D174" s="4">
        <f>GLW(TRIM(Table2_2[[#This Row],[Datushka]]),2)*1</f>
        <v>2004</v>
      </c>
      <c r="E174" s="4">
        <f>SUM($D$2:D174)</f>
        <v>1828414</v>
      </c>
    </row>
    <row r="175" spans="1:5" x14ac:dyDescent="0.25">
      <c r="A175" s="4" t="s">
        <v>77</v>
      </c>
      <c r="B175" s="4">
        <f>GLW(TRIM(Table2_2[[#This Row],[Datushka]]),0)*1</f>
        <v>5920</v>
      </c>
      <c r="C175" s="4">
        <f>GLW(TRIM(Table2_2[[#This Row],[Datushka]]),1)*1</f>
        <v>4235</v>
      </c>
      <c r="D175" s="4">
        <f>GLW(TRIM(Table2_2[[#This Row],[Datushka]]),2)*1</f>
        <v>10155</v>
      </c>
      <c r="E175" s="4">
        <f>SUM($D$2:D175)</f>
        <v>1838569</v>
      </c>
    </row>
    <row r="176" spans="1:5" x14ac:dyDescent="0.25">
      <c r="A176" s="4" t="s">
        <v>78</v>
      </c>
      <c r="B176" s="4">
        <f>GLW(TRIM(Table2_2[[#This Row],[Datushka]]),0)*1</f>
        <v>1374</v>
      </c>
      <c r="C176" s="4">
        <f>GLW(TRIM(Table2_2[[#This Row],[Datushka]]),1)*1</f>
        <v>984</v>
      </c>
      <c r="D176" s="4">
        <f>GLW(TRIM(Table2_2[[#This Row],[Datushka]]),2)*1</f>
        <v>2358</v>
      </c>
      <c r="E176" s="4">
        <f>SUM($D$2:D176)</f>
        <v>1840927</v>
      </c>
    </row>
    <row r="177" spans="1:5" x14ac:dyDescent="0.25">
      <c r="A177" s="4" t="s">
        <v>79</v>
      </c>
      <c r="B177" s="4">
        <f>GLW(TRIM(Table2_2[[#This Row],[Datushka]]),0)*1</f>
        <v>2786</v>
      </c>
      <c r="C177" s="4">
        <f>GLW(TRIM(Table2_2[[#This Row],[Datushka]]),1)*1</f>
        <v>1968</v>
      </c>
      <c r="D177" s="4">
        <f>GLW(TRIM(Table2_2[[#This Row],[Datushka]]),2)*1</f>
        <v>4754</v>
      </c>
      <c r="E177" s="4">
        <f>SUM($D$2:D177)</f>
        <v>1845681</v>
      </c>
    </row>
    <row r="178" spans="1:5" x14ac:dyDescent="0.25">
      <c r="A178" s="4" t="s">
        <v>80</v>
      </c>
      <c r="B178" s="4">
        <f>GLW(TRIM(Table2_2[[#This Row],[Datushka]]),0)*1</f>
        <v>7395</v>
      </c>
      <c r="C178" s="4">
        <f>GLW(TRIM(Table2_2[[#This Row],[Datushka]]),1)*1</f>
        <v>5110</v>
      </c>
      <c r="D178" s="4">
        <f>GLW(TRIM(Table2_2[[#This Row],[Datushka]]),2)*1</f>
        <v>12505</v>
      </c>
      <c r="E178" s="4">
        <f>SUM($D$2:D178)</f>
        <v>1858186</v>
      </c>
    </row>
    <row r="179" spans="1:5" x14ac:dyDescent="0.25">
      <c r="A179" s="4" t="s">
        <v>81</v>
      </c>
      <c r="B179" s="4">
        <f>GLW(TRIM(Table2_2[[#This Row],[Datushka]]),0)*1</f>
        <v>10647</v>
      </c>
      <c r="C179" s="4">
        <f>GLW(TRIM(Table2_2[[#This Row],[Datushka]]),1)*1</f>
        <v>8856</v>
      </c>
      <c r="D179" s="4">
        <f>GLW(TRIM(Table2_2[[#This Row],[Datushka]]),2)*1</f>
        <v>19503</v>
      </c>
      <c r="E179" s="4">
        <f>SUM($D$2:D179)</f>
        <v>1877689</v>
      </c>
    </row>
    <row r="180" spans="1:5" x14ac:dyDescent="0.25">
      <c r="A180" s="4" t="s">
        <v>82</v>
      </c>
      <c r="B180" s="4">
        <f>GLW(TRIM(Table2_2[[#This Row],[Datushka]]),0)*1</f>
        <v>1287</v>
      </c>
      <c r="C180" s="4">
        <f>GLW(TRIM(Table2_2[[#This Row],[Datushka]]),1)*1</f>
        <v>1022</v>
      </c>
      <c r="D180" s="4">
        <f>GLW(TRIM(Table2_2[[#This Row],[Datushka]]),2)*1</f>
        <v>2309</v>
      </c>
      <c r="E180" s="4">
        <f>SUM($D$2:D180)</f>
        <v>1879998</v>
      </c>
    </row>
    <row r="181" spans="1:5" x14ac:dyDescent="0.25">
      <c r="A181" s="4" t="s">
        <v>83</v>
      </c>
      <c r="B181" s="4">
        <f>GLW(TRIM(Table2_2[[#This Row],[Datushka]]),0)*1</f>
        <v>1156</v>
      </c>
      <c r="C181" s="4">
        <f>GLW(TRIM(Table2_2[[#This Row],[Datushka]]),1)*1</f>
        <v>1022</v>
      </c>
      <c r="D181" s="4">
        <f>GLW(TRIM(Table2_2[[#This Row],[Datushka]]),2)*1</f>
        <v>2178</v>
      </c>
      <c r="E181" s="4">
        <f>SUM($D$2:D181)</f>
        <v>1882176</v>
      </c>
    </row>
    <row r="182" spans="1:5" x14ac:dyDescent="0.25">
      <c r="A182" s="4" t="s">
        <v>84</v>
      </c>
      <c r="B182" s="4">
        <f>GLW(TRIM(Table2_2[[#This Row],[Datushka]]),0)*1</f>
        <v>857</v>
      </c>
      <c r="C182" s="4">
        <f>GLW(TRIM(Table2_2[[#This Row],[Datushka]]),1)*1</f>
        <v>847</v>
      </c>
      <c r="D182" s="4">
        <f>GLW(TRIM(Table2_2[[#This Row],[Datushka]]),2)*1</f>
        <v>1704</v>
      </c>
      <c r="E182" s="4">
        <f>SUM($D$2:D182)</f>
        <v>1883880</v>
      </c>
    </row>
    <row r="183" spans="1:5" x14ac:dyDescent="0.25">
      <c r="A183" s="4" t="s">
        <v>85</v>
      </c>
      <c r="B183" s="4">
        <f>GLW(TRIM(Table2_2[[#This Row],[Datushka]]),0)*1</f>
        <v>972</v>
      </c>
      <c r="C183" s="4">
        <f>GLW(TRIM(Table2_2[[#This Row],[Datushka]]),1)*1</f>
        <v>847</v>
      </c>
      <c r="D183" s="4">
        <f>GLW(TRIM(Table2_2[[#This Row],[Datushka]]),2)*1</f>
        <v>1819</v>
      </c>
      <c r="E183" s="4">
        <f>SUM($D$2:D183)</f>
        <v>1885699</v>
      </c>
    </row>
    <row r="184" spans="1:5" x14ac:dyDescent="0.25">
      <c r="A184" s="4" t="s">
        <v>86</v>
      </c>
      <c r="B184" s="4">
        <f>GLW(TRIM(Table2_2[[#This Row],[Datushka]]),0)*1</f>
        <v>1110</v>
      </c>
      <c r="C184" s="4">
        <f>GLW(TRIM(Table2_2[[#This Row],[Datushka]]),1)*1</f>
        <v>847</v>
      </c>
      <c r="D184" s="4">
        <f>GLW(TRIM(Table2_2[[#This Row],[Datushka]]),2)*1</f>
        <v>1957</v>
      </c>
      <c r="E184" s="4">
        <f>SUM($D$2:D184)</f>
        <v>1887656</v>
      </c>
    </row>
    <row r="185" spans="1:5" x14ac:dyDescent="0.25">
      <c r="A185" s="4" t="s">
        <v>87</v>
      </c>
      <c r="B185" s="4">
        <f>GLW(TRIM(Table2_2[[#This Row],[Datushka]]),0)*1</f>
        <v>4239</v>
      </c>
      <c r="C185" s="4">
        <f>GLW(TRIM(Table2_2[[#This Row],[Datushka]]),1)*1</f>
        <v>3066</v>
      </c>
      <c r="D185" s="4">
        <f>GLW(TRIM(Table2_2[[#This Row],[Datushka]]),2)*1</f>
        <v>7305</v>
      </c>
      <c r="E185" s="4">
        <f>SUM($D$2:D185)</f>
        <v>1894961</v>
      </c>
    </row>
    <row r="186" spans="1:5" x14ac:dyDescent="0.25">
      <c r="A186" s="4" t="s">
        <v>88</v>
      </c>
      <c r="B186" s="4">
        <f>GLW(TRIM(Table2_2[[#This Row],[Datushka]]),0)*1</f>
        <v>2080</v>
      </c>
      <c r="C186" s="4">
        <f>GLW(TRIM(Table2_2[[#This Row],[Datushka]]),1)*1</f>
        <v>2044</v>
      </c>
      <c r="D186" s="4">
        <f>GLW(TRIM(Table2_2[[#This Row],[Datushka]]),2)*1</f>
        <v>4124</v>
      </c>
      <c r="E186" s="4">
        <f>SUM($D$2:D186)</f>
        <v>1899085</v>
      </c>
    </row>
    <row r="187" spans="1:5" x14ac:dyDescent="0.25">
      <c r="A187" s="4" t="s">
        <v>89</v>
      </c>
      <c r="B187" s="4">
        <f>GLW(TRIM(Table2_2[[#This Row],[Datushka]]),0)*1</f>
        <v>5825</v>
      </c>
      <c r="C187" s="4">
        <f>GLW(TRIM(Table2_2[[#This Row],[Datushka]]),1)*1</f>
        <v>5110</v>
      </c>
      <c r="D187" s="4">
        <f>GLW(TRIM(Table2_2[[#This Row],[Datushka]]),2)*1</f>
        <v>10935</v>
      </c>
      <c r="E187" s="4">
        <f>SUM($D$2:D187)</f>
        <v>1910020</v>
      </c>
    </row>
    <row r="188" spans="1:5" x14ac:dyDescent="0.25">
      <c r="A188" s="4" t="s">
        <v>90</v>
      </c>
      <c r="B188" s="4">
        <f>GLW(TRIM(Table2_2[[#This Row],[Datushka]]),0)*1</f>
        <v>1122</v>
      </c>
      <c r="C188" s="4">
        <f>GLW(TRIM(Table2_2[[#This Row],[Datushka]]),1)*1</f>
        <v>984</v>
      </c>
      <c r="D188" s="4">
        <f>GLW(TRIM(Table2_2[[#This Row],[Datushka]]),2)*1</f>
        <v>2106</v>
      </c>
      <c r="E188" s="4">
        <f>SUM($D$2:D188)</f>
        <v>1912126</v>
      </c>
    </row>
    <row r="189" spans="1:5" x14ac:dyDescent="0.25">
      <c r="A189" s="4" t="s">
        <v>91</v>
      </c>
      <c r="B189" s="4">
        <f>GLW(TRIM(Table2_2[[#This Row],[Datushka]]),0)*1</f>
        <v>972</v>
      </c>
      <c r="C189" s="4">
        <f>GLW(TRIM(Table2_2[[#This Row],[Datushka]]),1)*1</f>
        <v>847</v>
      </c>
      <c r="D189" s="4">
        <f>GLW(TRIM(Table2_2[[#This Row],[Datushka]]),2)*1</f>
        <v>1819</v>
      </c>
      <c r="E189" s="4">
        <f>SUM($D$2:D189)</f>
        <v>1913945</v>
      </c>
    </row>
    <row r="190" spans="1:5" x14ac:dyDescent="0.25">
      <c r="A190" s="4" t="s">
        <v>92</v>
      </c>
      <c r="B190" s="4">
        <f>GLW(TRIM(Table2_2[[#This Row],[Datushka]]),0)*1</f>
        <v>6855</v>
      </c>
      <c r="C190" s="4">
        <f>GLW(TRIM(Table2_2[[#This Row],[Datushka]]),1)*1</f>
        <v>5110</v>
      </c>
      <c r="D190" s="4">
        <f>GLW(TRIM(Table2_2[[#This Row],[Datushka]]),2)*1</f>
        <v>11965</v>
      </c>
      <c r="E190" s="4">
        <f>SUM($D$2:D190)</f>
        <v>1925910</v>
      </c>
    </row>
    <row r="191" spans="1:5" x14ac:dyDescent="0.25">
      <c r="A191" s="4" t="s">
        <v>93</v>
      </c>
      <c r="B191" s="4">
        <f>GLW(TRIM(Table2_2[[#This Row],[Datushka]]),0)*1</f>
        <v>14210</v>
      </c>
      <c r="C191" s="4">
        <f>GLW(TRIM(Table2_2[[#This Row],[Datushka]]),1)*1</f>
        <v>10220</v>
      </c>
      <c r="D191" s="4">
        <f>GLW(TRIM(Table2_2[[#This Row],[Datushka]]),2)*1</f>
        <v>24430</v>
      </c>
      <c r="E191" s="4">
        <f>SUM($D$2:D191)</f>
        <v>1950340</v>
      </c>
    </row>
    <row r="192" spans="1:5" x14ac:dyDescent="0.25">
      <c r="A192" s="4" t="s">
        <v>94</v>
      </c>
      <c r="B192" s="4">
        <f>GLW(TRIM(Table2_2[[#This Row],[Datushka]]),0)*1</f>
        <v>5152</v>
      </c>
      <c r="C192" s="4">
        <f>GLW(TRIM(Table2_2[[#This Row],[Datushka]]),1)*1</f>
        <v>4088</v>
      </c>
      <c r="D192" s="4">
        <f>GLW(TRIM(Table2_2[[#This Row],[Datushka]]),2)*1</f>
        <v>9240</v>
      </c>
      <c r="E192" s="4">
        <f>SUM($D$2:D192)</f>
        <v>1959580</v>
      </c>
    </row>
    <row r="193" spans="1:5" x14ac:dyDescent="0.25">
      <c r="A193" s="4" t="s">
        <v>95</v>
      </c>
      <c r="B193" s="4">
        <f>GLW(TRIM(Table2_2[[#This Row],[Datushka]]),0)*1</f>
        <v>1321</v>
      </c>
      <c r="C193" s="4">
        <f>GLW(TRIM(Table2_2[[#This Row],[Datushka]]),1)*1</f>
        <v>1022</v>
      </c>
      <c r="D193" s="4">
        <f>GLW(TRIM(Table2_2[[#This Row],[Datushka]]),2)*1</f>
        <v>2343</v>
      </c>
      <c r="E193" s="4">
        <f>SUM($D$2:D193)</f>
        <v>1961923</v>
      </c>
    </row>
    <row r="194" spans="1:5" x14ac:dyDescent="0.25">
      <c r="A194" s="4" t="s">
        <v>96</v>
      </c>
      <c r="B194" s="4">
        <f>GLW(TRIM(Table2_2[[#This Row],[Datushka]]),0)*1</f>
        <v>2558</v>
      </c>
      <c r="C194" s="4">
        <f>GLW(TRIM(Table2_2[[#This Row],[Datushka]]),1)*1</f>
        <v>1968</v>
      </c>
      <c r="D194" s="4">
        <f>GLW(TRIM(Table2_2[[#This Row],[Datushka]]),2)*1</f>
        <v>4526</v>
      </c>
      <c r="E194" s="4">
        <f>SUM($D$2:D194)</f>
        <v>1966449</v>
      </c>
    </row>
    <row r="195" spans="1:5" x14ac:dyDescent="0.25">
      <c r="A195" s="4" t="s">
        <v>97</v>
      </c>
      <c r="B195" s="4">
        <f>GLW(TRIM(Table2_2[[#This Row],[Datushka]]),0)*1</f>
        <v>4728</v>
      </c>
      <c r="C195" s="4">
        <f>GLW(TRIM(Table2_2[[#This Row],[Datushka]]),1)*1</f>
        <v>3388</v>
      </c>
      <c r="D195" s="4">
        <f>GLW(TRIM(Table2_2[[#This Row],[Datushka]]),2)*1</f>
        <v>8116</v>
      </c>
      <c r="E195" s="4">
        <f>SUM($D$2:D195)</f>
        <v>1974565</v>
      </c>
    </row>
    <row r="196" spans="1:5" x14ac:dyDescent="0.25">
      <c r="A196" s="4" t="s">
        <v>98</v>
      </c>
      <c r="B196" s="4">
        <f>GLW(TRIM(Table2_2[[#This Row],[Datushka]]),0)*1</f>
        <v>2904</v>
      </c>
      <c r="C196" s="4">
        <f>GLW(TRIM(Table2_2[[#This Row],[Datushka]]),1)*1</f>
        <v>2044</v>
      </c>
      <c r="D196" s="4">
        <f>GLW(TRIM(Table2_2[[#This Row],[Datushka]]),2)*1</f>
        <v>4948</v>
      </c>
      <c r="E196" s="4">
        <f>SUM($D$2:D196)</f>
        <v>1979513</v>
      </c>
    </row>
    <row r="197" spans="1:5" x14ac:dyDescent="0.25">
      <c r="A197" s="4" t="s">
        <v>99</v>
      </c>
      <c r="B197" s="4">
        <f>GLW(TRIM(Table2_2[[#This Row],[Datushka]]),0)*1</f>
        <v>2898</v>
      </c>
      <c r="C197" s="4">
        <f>GLW(TRIM(Table2_2[[#This Row],[Datushka]]),1)*1</f>
        <v>1968</v>
      </c>
      <c r="D197" s="4">
        <f>GLW(TRIM(Table2_2[[#This Row],[Datushka]]),2)*1</f>
        <v>4866</v>
      </c>
      <c r="E197" s="4">
        <f>SUM($D$2:D197)</f>
        <v>1984379</v>
      </c>
    </row>
    <row r="198" spans="1:5" x14ac:dyDescent="0.25">
      <c r="A198" s="4" t="s">
        <v>100</v>
      </c>
      <c r="B198" s="4">
        <f>GLW(TRIM(Table2_2[[#This Row],[Datushka]]),0)*1</f>
        <v>9585</v>
      </c>
      <c r="C198" s="4">
        <f>GLW(TRIM(Table2_2[[#This Row],[Datushka]]),1)*1</f>
        <v>9198</v>
      </c>
      <c r="D198" s="4">
        <f>GLW(TRIM(Table2_2[[#This Row],[Datushka]]),2)*1</f>
        <v>18783</v>
      </c>
      <c r="E198" s="4">
        <f>SUM($D$2:D198)</f>
        <v>2003162</v>
      </c>
    </row>
    <row r="199" spans="1:5" x14ac:dyDescent="0.25">
      <c r="A199" s="4" t="s">
        <v>101</v>
      </c>
      <c r="B199" s="4">
        <f>GLW(TRIM(Table2_2[[#This Row],[Datushka]]),0)*1</f>
        <v>2162</v>
      </c>
      <c r="C199" s="4">
        <f>GLW(TRIM(Table2_2[[#This Row],[Datushka]]),1)*1</f>
        <v>1694</v>
      </c>
      <c r="D199" s="4">
        <f>GLW(TRIM(Table2_2[[#This Row],[Datushka]]),2)*1</f>
        <v>3856</v>
      </c>
      <c r="E199" s="4">
        <f>SUM($D$2:D199)</f>
        <v>2007018</v>
      </c>
    </row>
    <row r="200" spans="1:5" x14ac:dyDescent="0.25">
      <c r="A200" s="4" t="s">
        <v>102</v>
      </c>
      <c r="B200" s="4">
        <f>GLW(TRIM(Table2_2[[#This Row],[Datushka]]),0)*1</f>
        <v>6775</v>
      </c>
      <c r="C200" s="4">
        <f>GLW(TRIM(Table2_2[[#This Row],[Datushka]]),1)*1</f>
        <v>4920</v>
      </c>
      <c r="D200" s="4">
        <f>GLW(TRIM(Table2_2[[#This Row],[Datushka]]),2)*1</f>
        <v>11695</v>
      </c>
      <c r="E200" s="4">
        <f>SUM($D$2:D200)</f>
        <v>2018713</v>
      </c>
    </row>
    <row r="201" spans="1:5" x14ac:dyDescent="0.25">
      <c r="A201" s="4" t="s">
        <v>103</v>
      </c>
      <c r="B201" s="4">
        <f>GLW(TRIM(Table2_2[[#This Row],[Datushka]]),0)*1</f>
        <v>1288</v>
      </c>
      <c r="C201" s="4">
        <f>GLW(TRIM(Table2_2[[#This Row],[Datushka]]),1)*1</f>
        <v>984</v>
      </c>
      <c r="D201" s="4">
        <f>GLW(TRIM(Table2_2[[#This Row],[Datushka]]),2)*1</f>
        <v>2272</v>
      </c>
      <c r="E201" s="4">
        <f>SUM($D$2:D201)</f>
        <v>2020985</v>
      </c>
    </row>
    <row r="202" spans="1:5" x14ac:dyDescent="0.25">
      <c r="A202" s="4" t="s">
        <v>104</v>
      </c>
      <c r="B202" s="4">
        <f>GLW(TRIM(Table2_2[[#This Row],[Datushka]]),0)*1</f>
        <v>9920</v>
      </c>
      <c r="C202" s="4">
        <f>GLW(TRIM(Table2_2[[#This Row],[Datushka]]),1)*1</f>
        <v>6776</v>
      </c>
      <c r="D202" s="4">
        <f>GLW(TRIM(Table2_2[[#This Row],[Datushka]]),2)*1</f>
        <v>16696</v>
      </c>
      <c r="E202" s="4">
        <f>SUM($D$2:D202)</f>
        <v>2037681</v>
      </c>
    </row>
    <row r="203" spans="1:5" x14ac:dyDescent="0.25">
      <c r="A203" s="4" t="s">
        <v>105</v>
      </c>
      <c r="B203" s="4">
        <f>GLW(TRIM(Table2_2[[#This Row],[Datushka]]),0)*1</f>
        <v>1525</v>
      </c>
      <c r="C203" s="4">
        <f>GLW(TRIM(Table2_2[[#This Row],[Datushka]]),1)*1</f>
        <v>1022</v>
      </c>
      <c r="D203" s="4">
        <f>GLW(TRIM(Table2_2[[#This Row],[Datushka]]),2)*1</f>
        <v>2547</v>
      </c>
      <c r="E203" s="4">
        <f>SUM($D$2:D203)</f>
        <v>2040228</v>
      </c>
    </row>
    <row r="204" spans="1:5" x14ac:dyDescent="0.25">
      <c r="A204" s="4" t="s">
        <v>9</v>
      </c>
      <c r="B204" s="4">
        <f>GLW(TRIM(Table2_2[[#This Row],[Datushka]]),0)*1</f>
        <v>4740</v>
      </c>
      <c r="C204" s="4">
        <f>GLW(TRIM(Table2_2[[#This Row],[Datushka]]),1)*1</f>
        <v>3388</v>
      </c>
      <c r="D204" s="4">
        <f>GLW(TRIM(Table2_2[[#This Row],[Datushka]]),2)*1</f>
        <v>8128</v>
      </c>
      <c r="E204" s="4">
        <f>SUM($D$2:D236)</f>
        <v>2344835</v>
      </c>
    </row>
    <row r="205" spans="1:5" x14ac:dyDescent="0.25">
      <c r="A205" s="4" t="s">
        <v>10</v>
      </c>
      <c r="B205" s="4">
        <f>GLW(TRIM(Table2_2[[#This Row],[Datushka]]),0)*1</f>
        <v>1035</v>
      </c>
      <c r="C205" s="4">
        <f>GLW(TRIM(Table2_2[[#This Row],[Datushka]]),1)*1</f>
        <v>847</v>
      </c>
      <c r="D205" s="4">
        <f>GLW(TRIM(Table2_2[[#This Row],[Datushka]]),2)*1</f>
        <v>1882</v>
      </c>
      <c r="E205" s="4">
        <f>SUM($D$2:D205)</f>
        <v>2050238</v>
      </c>
    </row>
    <row r="206" spans="1:5" x14ac:dyDescent="0.25">
      <c r="A206" s="4" t="s">
        <v>11</v>
      </c>
      <c r="B206" s="4">
        <f>GLW(TRIM(Table2_2[[#This Row],[Datushka]]),0)*1</f>
        <v>1247</v>
      </c>
      <c r="C206" s="4">
        <f>GLW(TRIM(Table2_2[[#This Row],[Datushka]]),1)*1</f>
        <v>984</v>
      </c>
      <c r="D206" s="4">
        <f>GLW(TRIM(Table2_2[[#This Row],[Datushka]]),2)*1</f>
        <v>2231</v>
      </c>
      <c r="E206" s="4">
        <f>SUM($D$2:D206)</f>
        <v>2052469</v>
      </c>
    </row>
    <row r="207" spans="1:5" x14ac:dyDescent="0.25">
      <c r="A207" s="4" t="s">
        <v>12</v>
      </c>
      <c r="B207" s="4">
        <f>GLW(TRIM(Table2_2[[#This Row],[Datushka]]),0)*1</f>
        <v>6210</v>
      </c>
      <c r="C207" s="4">
        <f>GLW(TRIM(Table2_2[[#This Row],[Datushka]]),1)*1</f>
        <v>4235</v>
      </c>
      <c r="D207" s="4">
        <f>GLW(TRIM(Table2_2[[#This Row],[Datushka]]),2)*1</f>
        <v>10445</v>
      </c>
      <c r="E207" s="4">
        <f>SUM($D$2:D207)</f>
        <v>2062914</v>
      </c>
    </row>
    <row r="208" spans="1:5" x14ac:dyDescent="0.25">
      <c r="A208" s="4" t="s">
        <v>13</v>
      </c>
      <c r="B208" s="4">
        <f>GLW(TRIM(Table2_2[[#This Row],[Datushka]]),0)*1</f>
        <v>1070</v>
      </c>
      <c r="C208" s="4">
        <f>GLW(TRIM(Table2_2[[#This Row],[Datushka]]),1)*1</f>
        <v>984</v>
      </c>
      <c r="D208" s="4">
        <f>GLW(TRIM(Table2_2[[#This Row],[Datushka]]),2)*1</f>
        <v>2054</v>
      </c>
      <c r="E208" s="4">
        <f>SUM($D$2:D208)</f>
        <v>2064968</v>
      </c>
    </row>
    <row r="209" spans="1:5" x14ac:dyDescent="0.25">
      <c r="A209" s="4" t="s">
        <v>14</v>
      </c>
      <c r="B209" s="4">
        <f>GLW(TRIM(Table2_2[[#This Row],[Datushka]]),0)*1</f>
        <v>7448</v>
      </c>
      <c r="C209" s="4">
        <f>GLW(TRIM(Table2_2[[#This Row],[Datushka]]),1)*1</f>
        <v>6776</v>
      </c>
      <c r="D209" s="4">
        <f>GLW(TRIM(Table2_2[[#This Row],[Datushka]]),2)*1</f>
        <v>14224</v>
      </c>
      <c r="E209" s="4">
        <f>SUM($D$2:D209)</f>
        <v>2079192</v>
      </c>
    </row>
    <row r="210" spans="1:5" x14ac:dyDescent="0.25">
      <c r="A210" s="4" t="s">
        <v>15</v>
      </c>
      <c r="B210" s="4">
        <f>GLW(TRIM(Table2_2[[#This Row],[Datushka]]),0)*1</f>
        <v>3748</v>
      </c>
      <c r="C210" s="4">
        <f>GLW(TRIM(Table2_2[[#This Row],[Datushka]]),1)*1</f>
        <v>3388</v>
      </c>
      <c r="D210" s="4">
        <f>GLW(TRIM(Table2_2[[#This Row],[Datushka]]),2)*1</f>
        <v>7136</v>
      </c>
      <c r="E210" s="4">
        <f>SUM($D$2:D210)</f>
        <v>2086328</v>
      </c>
    </row>
    <row r="211" spans="1:5" x14ac:dyDescent="0.25">
      <c r="A211" s="4" t="s">
        <v>16</v>
      </c>
      <c r="B211" s="4">
        <f>GLW(TRIM(Table2_2[[#This Row],[Datushka]]),0)*1</f>
        <v>10262</v>
      </c>
      <c r="C211" s="4">
        <f>GLW(TRIM(Table2_2[[#This Row],[Datushka]]),1)*1</f>
        <v>6888</v>
      </c>
      <c r="D211" s="4">
        <f>GLW(TRIM(Table2_2[[#This Row],[Datushka]]),2)*1</f>
        <v>17150</v>
      </c>
      <c r="E211" s="4">
        <f>SUM($D$2:D211)</f>
        <v>2103478</v>
      </c>
    </row>
    <row r="212" spans="1:5" x14ac:dyDescent="0.25">
      <c r="A212" s="4" t="s">
        <v>17</v>
      </c>
      <c r="B212" s="4">
        <f>GLW(TRIM(Table2_2[[#This Row],[Datushka]]),0)*1</f>
        <v>3762</v>
      </c>
      <c r="C212" s="4">
        <f>GLW(TRIM(Table2_2[[#This Row],[Datushka]]),1)*1</f>
        <v>2952</v>
      </c>
      <c r="D212" s="4">
        <f>GLW(TRIM(Table2_2[[#This Row],[Datushka]]),2)*1</f>
        <v>6714</v>
      </c>
      <c r="E212" s="4">
        <f>SUM($D$2:D212)</f>
        <v>2110192</v>
      </c>
    </row>
    <row r="213" spans="1:5" x14ac:dyDescent="0.25">
      <c r="A213" s="4" t="s">
        <v>18</v>
      </c>
      <c r="B213" s="4">
        <f>GLW(TRIM(Table2_2[[#This Row],[Datushka]]),0)*1</f>
        <v>5956</v>
      </c>
      <c r="C213" s="4">
        <f>GLW(TRIM(Table2_2[[#This Row],[Datushka]]),1)*1</f>
        <v>4088</v>
      </c>
      <c r="D213" s="4">
        <f>GLW(TRIM(Table2_2[[#This Row],[Datushka]]),2)*1</f>
        <v>10044</v>
      </c>
      <c r="E213" s="4">
        <f>SUM($D$2:D213)</f>
        <v>2120236</v>
      </c>
    </row>
    <row r="214" spans="1:5" x14ac:dyDescent="0.25">
      <c r="A214" s="4" t="s">
        <v>19</v>
      </c>
      <c r="B214" s="4">
        <f>GLW(TRIM(Table2_2[[#This Row],[Datushka]]),0)*1</f>
        <v>10780</v>
      </c>
      <c r="C214" s="4">
        <f>GLW(TRIM(Table2_2[[#This Row],[Datushka]]),1)*1</f>
        <v>8470</v>
      </c>
      <c r="D214" s="4">
        <f>GLW(TRIM(Table2_2[[#This Row],[Datushka]]),2)*1</f>
        <v>19250</v>
      </c>
      <c r="E214" s="4">
        <f>SUM($D$2:D214)</f>
        <v>2139486</v>
      </c>
    </row>
    <row r="215" spans="1:5" x14ac:dyDescent="0.25">
      <c r="A215" s="4" t="s">
        <v>20</v>
      </c>
      <c r="B215" s="4">
        <f>GLW(TRIM(Table2_2[[#This Row],[Datushka]]),0)*1</f>
        <v>8864</v>
      </c>
      <c r="C215" s="4">
        <f>GLW(TRIM(Table2_2[[#This Row],[Datushka]]),1)*1</f>
        <v>6776</v>
      </c>
      <c r="D215" s="4">
        <f>GLW(TRIM(Table2_2[[#This Row],[Datushka]]),2)*1</f>
        <v>15640</v>
      </c>
      <c r="E215" s="4">
        <f>SUM($D$2:D215)</f>
        <v>2155126</v>
      </c>
    </row>
    <row r="216" spans="1:5" x14ac:dyDescent="0.25">
      <c r="A216" s="4" t="s">
        <v>21</v>
      </c>
      <c r="B216" s="4">
        <f>GLW(TRIM(Table2_2[[#This Row],[Datushka]]),0)*1</f>
        <v>6768</v>
      </c>
      <c r="C216" s="4">
        <f>GLW(TRIM(Table2_2[[#This Row],[Datushka]]),1)*1</f>
        <v>5904</v>
      </c>
      <c r="D216" s="4">
        <f>GLW(TRIM(Table2_2[[#This Row],[Datushka]]),2)*1</f>
        <v>12672</v>
      </c>
      <c r="E216" s="4">
        <f>SUM($D$2:D216)</f>
        <v>2167798</v>
      </c>
    </row>
    <row r="217" spans="1:5" x14ac:dyDescent="0.25">
      <c r="A217" s="4" t="s">
        <v>22</v>
      </c>
      <c r="B217" s="4">
        <f>GLW(TRIM(Table2_2[[#This Row],[Datushka]]),0)*1</f>
        <v>2991</v>
      </c>
      <c r="C217" s="4">
        <f>GLW(TRIM(Table2_2[[#This Row],[Datushka]]),1)*1</f>
        <v>2541</v>
      </c>
      <c r="D217" s="4">
        <f>GLW(TRIM(Table2_2[[#This Row],[Datushka]]),2)*1</f>
        <v>5532</v>
      </c>
      <c r="E217" s="4">
        <f>SUM($D$2:D217)</f>
        <v>2173330</v>
      </c>
    </row>
    <row r="218" spans="1:5" x14ac:dyDescent="0.25">
      <c r="A218" s="4" t="s">
        <v>23</v>
      </c>
      <c r="B218" s="4">
        <f>GLW(TRIM(Table2_2[[#This Row],[Datushka]]),0)*1</f>
        <v>2772</v>
      </c>
      <c r="C218" s="4">
        <f>GLW(TRIM(Table2_2[[#This Row],[Datushka]]),1)*1</f>
        <v>1968</v>
      </c>
      <c r="D218" s="4">
        <f>GLW(TRIM(Table2_2[[#This Row],[Datushka]]),2)*1</f>
        <v>4740</v>
      </c>
      <c r="E218" s="4">
        <f>SUM($D$2:D218)</f>
        <v>2178070</v>
      </c>
    </row>
    <row r="219" spans="1:5" x14ac:dyDescent="0.25">
      <c r="A219" s="4" t="s">
        <v>24</v>
      </c>
      <c r="B219" s="4">
        <f>GLW(TRIM(Table2_2[[#This Row],[Datushka]]),0)*1</f>
        <v>1165</v>
      </c>
      <c r="C219" s="4">
        <f>GLW(TRIM(Table2_2[[#This Row],[Datushka]]),1)*1</f>
        <v>847</v>
      </c>
      <c r="D219" s="4">
        <f>GLW(TRIM(Table2_2[[#This Row],[Datushka]]),2)*1</f>
        <v>2012</v>
      </c>
      <c r="E219" s="4">
        <f>SUM($D$2:D219)</f>
        <v>2180082</v>
      </c>
    </row>
    <row r="220" spans="1:5" x14ac:dyDescent="0.25">
      <c r="A220" s="4" t="s">
        <v>25</v>
      </c>
      <c r="B220" s="4">
        <f>GLW(TRIM(Table2_2[[#This Row],[Datushka]]),0)*1</f>
        <v>9288</v>
      </c>
      <c r="C220" s="4">
        <f>GLW(TRIM(Table2_2[[#This Row],[Datushka]]),1)*1</f>
        <v>7872</v>
      </c>
      <c r="D220" s="4">
        <f>GLW(TRIM(Table2_2[[#This Row],[Datushka]]),2)*1</f>
        <v>17160</v>
      </c>
      <c r="E220" s="4">
        <f>SUM($D$2:D220)</f>
        <v>2197242</v>
      </c>
    </row>
    <row r="221" spans="1:5" x14ac:dyDescent="0.25">
      <c r="A221" s="4" t="s">
        <v>26</v>
      </c>
      <c r="B221" s="4">
        <f>GLW(TRIM(Table2_2[[#This Row],[Datushka]]),0)*1</f>
        <v>7385</v>
      </c>
      <c r="C221" s="4">
        <f>GLW(TRIM(Table2_2[[#This Row],[Datushka]]),1)*1</f>
        <v>5929</v>
      </c>
      <c r="D221" s="4">
        <f>GLW(TRIM(Table2_2[[#This Row],[Datushka]]),2)*1</f>
        <v>13314</v>
      </c>
      <c r="E221" s="4">
        <f>SUM($D$2:D221)</f>
        <v>2210556</v>
      </c>
    </row>
    <row r="222" spans="1:5" x14ac:dyDescent="0.25">
      <c r="A222" s="4" t="s">
        <v>27</v>
      </c>
      <c r="B222" s="4">
        <f>GLW(TRIM(Table2_2[[#This Row],[Datushka]]),0)*1</f>
        <v>2312</v>
      </c>
      <c r="C222" s="4">
        <f>GLW(TRIM(Table2_2[[#This Row],[Datushka]]),1)*1</f>
        <v>1968</v>
      </c>
      <c r="D222" s="4">
        <f>GLW(TRIM(Table2_2[[#This Row],[Datushka]]),2)*1</f>
        <v>4280</v>
      </c>
      <c r="E222" s="4">
        <f>SUM($D$2:D222)</f>
        <v>2214836</v>
      </c>
    </row>
    <row r="223" spans="1:5" x14ac:dyDescent="0.25">
      <c r="A223" s="4" t="s">
        <v>28</v>
      </c>
      <c r="B223" s="4">
        <f>GLW(TRIM(Table2_2[[#This Row],[Datushka]]),0)*1</f>
        <v>12852</v>
      </c>
      <c r="C223" s="4">
        <f>GLW(TRIM(Table2_2[[#This Row],[Datushka]]),1)*1</f>
        <v>8856</v>
      </c>
      <c r="D223" s="4">
        <f>GLW(TRIM(Table2_2[[#This Row],[Datushka]]),2)*1</f>
        <v>21708</v>
      </c>
      <c r="E223" s="4">
        <f>SUM($D$2:D223)</f>
        <v>2236544</v>
      </c>
    </row>
    <row r="224" spans="1:5" x14ac:dyDescent="0.25">
      <c r="A224" s="4" t="s">
        <v>29</v>
      </c>
      <c r="B224" s="4">
        <f>GLW(TRIM(Table2_2[[#This Row],[Datushka]]),0)*1</f>
        <v>11420</v>
      </c>
      <c r="C224" s="4">
        <f>GLW(TRIM(Table2_2[[#This Row],[Datushka]]),1)*1</f>
        <v>8470</v>
      </c>
      <c r="D224" s="4">
        <f>GLW(TRIM(Table2_2[[#This Row],[Datushka]]),2)*1</f>
        <v>19890</v>
      </c>
      <c r="E224" s="4">
        <f>SUM($D$2:D224)</f>
        <v>2256434</v>
      </c>
    </row>
    <row r="225" spans="1:5" x14ac:dyDescent="0.25">
      <c r="A225" s="4" t="s">
        <v>30</v>
      </c>
      <c r="B225" s="4">
        <f>GLW(TRIM(Table2_2[[#This Row],[Datushka]]),0)*1</f>
        <v>970</v>
      </c>
      <c r="C225" s="4">
        <f>GLW(TRIM(Table2_2[[#This Row],[Datushka]]),1)*1</f>
        <v>847</v>
      </c>
      <c r="D225" s="4">
        <f>GLW(TRIM(Table2_2[[#This Row],[Datushka]]),2)*1</f>
        <v>1817</v>
      </c>
      <c r="E225" s="4">
        <f>SUM($D$2:D225)</f>
        <v>2258251</v>
      </c>
    </row>
    <row r="226" spans="1:5" x14ac:dyDescent="0.25">
      <c r="A226" s="4" t="s">
        <v>31</v>
      </c>
      <c r="B226" s="4">
        <f>GLW(TRIM(Table2_2[[#This Row],[Datushka]]),0)*1</f>
        <v>3504</v>
      </c>
      <c r="C226" s="4">
        <f>GLW(TRIM(Table2_2[[#This Row],[Datushka]]),1)*1</f>
        <v>2541</v>
      </c>
      <c r="D226" s="4">
        <f>GLW(TRIM(Table2_2[[#This Row],[Datushka]]),2)*1</f>
        <v>6045</v>
      </c>
      <c r="E226" s="4">
        <f>SUM($D$2:D226)</f>
        <v>2264296</v>
      </c>
    </row>
    <row r="227" spans="1:5" x14ac:dyDescent="0.25">
      <c r="A227" s="4" t="s">
        <v>32</v>
      </c>
      <c r="B227" s="4">
        <f>GLW(TRIM(Table2_2[[#This Row],[Datushka]]),0)*1</f>
        <v>2616</v>
      </c>
      <c r="C227" s="4">
        <f>GLW(TRIM(Table2_2[[#This Row],[Datushka]]),1)*1</f>
        <v>2541</v>
      </c>
      <c r="D227" s="4">
        <f>GLW(TRIM(Table2_2[[#This Row],[Datushka]]),2)*1</f>
        <v>5157</v>
      </c>
      <c r="E227" s="4">
        <f>SUM($D$2:D227)</f>
        <v>2269453</v>
      </c>
    </row>
    <row r="228" spans="1:5" x14ac:dyDescent="0.25">
      <c r="A228" s="4" t="s">
        <v>33</v>
      </c>
      <c r="B228" s="4">
        <f>GLW(TRIM(Table2_2[[#This Row],[Datushka]]),0)*1</f>
        <v>3792</v>
      </c>
      <c r="C228" s="4">
        <f>GLW(TRIM(Table2_2[[#This Row],[Datushka]]),1)*1</f>
        <v>3388</v>
      </c>
      <c r="D228" s="4">
        <f>GLW(TRIM(Table2_2[[#This Row],[Datushka]]),2)*1</f>
        <v>7180</v>
      </c>
      <c r="E228" s="4">
        <f>SUM($D$2:D228)</f>
        <v>2276633</v>
      </c>
    </row>
    <row r="229" spans="1:5" x14ac:dyDescent="0.25">
      <c r="A229" s="4" t="s">
        <v>34</v>
      </c>
      <c r="B229" s="4">
        <f>GLW(TRIM(Table2_2[[#This Row],[Datushka]]),0)*1</f>
        <v>1465</v>
      </c>
      <c r="C229" s="4">
        <f>GLW(TRIM(Table2_2[[#This Row],[Datushka]]),1)*1</f>
        <v>1022</v>
      </c>
      <c r="D229" s="4">
        <f>GLW(TRIM(Table2_2[[#This Row],[Datushka]]),2)*1</f>
        <v>2487</v>
      </c>
      <c r="E229" s="4">
        <f>SUM($D$2:D229)</f>
        <v>2279120</v>
      </c>
    </row>
    <row r="230" spans="1:5" x14ac:dyDescent="0.25">
      <c r="A230" s="4" t="s">
        <v>35</v>
      </c>
      <c r="B230" s="4">
        <f>GLW(TRIM(Table2_2[[#This Row],[Datushka]]),0)*1</f>
        <v>6894</v>
      </c>
      <c r="C230" s="4">
        <f>GLW(TRIM(Table2_2[[#This Row],[Datushka]]),1)*1</f>
        <v>5904</v>
      </c>
      <c r="D230" s="4">
        <f>GLW(TRIM(Table2_2[[#This Row],[Datushka]]),2)*1</f>
        <v>12798</v>
      </c>
      <c r="E230" s="4">
        <f>SUM($D$2:D230)</f>
        <v>2291918</v>
      </c>
    </row>
    <row r="231" spans="1:5" x14ac:dyDescent="0.25">
      <c r="A231" s="4" t="s">
        <v>36</v>
      </c>
      <c r="B231" s="4">
        <f>GLW(TRIM(Table2_2[[#This Row],[Datushka]]),0)*1</f>
        <v>6979</v>
      </c>
      <c r="C231" s="4">
        <f>GLW(TRIM(Table2_2[[#This Row],[Datushka]]),1)*1</f>
        <v>6888</v>
      </c>
      <c r="D231" s="4">
        <f>GLW(TRIM(Table2_2[[#This Row],[Datushka]]),2)*1</f>
        <v>13867</v>
      </c>
      <c r="E231" s="4">
        <f>SUM($D$2:D231)</f>
        <v>2305785</v>
      </c>
    </row>
    <row r="232" spans="1:5" x14ac:dyDescent="0.25">
      <c r="A232" s="4" t="s">
        <v>37</v>
      </c>
      <c r="B232" s="4">
        <f>GLW(TRIM(Table2_2[[#This Row],[Datushka]]),0)*1</f>
        <v>1219</v>
      </c>
      <c r="C232" s="4">
        <f>GLW(TRIM(Table2_2[[#This Row],[Datushka]]),1)*1</f>
        <v>847</v>
      </c>
      <c r="D232" s="4">
        <f>GLW(TRIM(Table2_2[[#This Row],[Datushka]]),2)*1</f>
        <v>2066</v>
      </c>
      <c r="E232" s="4">
        <f>SUM($D$2:D232)</f>
        <v>2307851</v>
      </c>
    </row>
    <row r="233" spans="1:5" x14ac:dyDescent="0.25">
      <c r="A233" s="4" t="s">
        <v>38</v>
      </c>
      <c r="B233" s="4">
        <f>GLW(TRIM(Table2_2[[#This Row],[Datushka]]),0)*1</f>
        <v>8760</v>
      </c>
      <c r="C233" s="4">
        <f>GLW(TRIM(Table2_2[[#This Row],[Datushka]]),1)*1</f>
        <v>8176</v>
      </c>
      <c r="D233" s="4">
        <f>GLW(TRIM(Table2_2[[#This Row],[Datushka]]),2)*1</f>
        <v>16936</v>
      </c>
      <c r="E233" s="4">
        <f>SUM($D$2:D233)</f>
        <v>2324787</v>
      </c>
    </row>
    <row r="234" spans="1:5" x14ac:dyDescent="0.25">
      <c r="A234" s="4" t="s">
        <v>39</v>
      </c>
      <c r="B234" s="4">
        <f>GLW(TRIM(Table2_2[[#This Row],[Datushka]]),0)*1</f>
        <v>2774</v>
      </c>
      <c r="C234" s="4">
        <f>GLW(TRIM(Table2_2[[#This Row],[Datushka]]),1)*1</f>
        <v>1968</v>
      </c>
      <c r="D234" s="4">
        <f>GLW(TRIM(Table2_2[[#This Row],[Datushka]]),2)*1</f>
        <v>4742</v>
      </c>
      <c r="E234" s="4">
        <f>SUM($D$2:D234)</f>
        <v>2329529</v>
      </c>
    </row>
    <row r="235" spans="1:5" x14ac:dyDescent="0.25">
      <c r="A235" s="4" t="s">
        <v>40</v>
      </c>
      <c r="B235" s="4">
        <f>GLW(TRIM(Table2_2[[#This Row],[Datushka]]),0)*1</f>
        <v>6348</v>
      </c>
      <c r="C235" s="4">
        <f>GLW(TRIM(Table2_2[[#This Row],[Datushka]]),1)*1</f>
        <v>5082</v>
      </c>
      <c r="D235" s="4">
        <f>GLW(TRIM(Table2_2[[#This Row],[Datushka]]),2)*1</f>
        <v>11430</v>
      </c>
      <c r="E235" s="4">
        <f>SUM($D$2:D235)</f>
        <v>2340959</v>
      </c>
    </row>
    <row r="236" spans="1:5" x14ac:dyDescent="0.25">
      <c r="A236" s="4" t="s">
        <v>41</v>
      </c>
      <c r="B236" s="4">
        <f>GLW(TRIM(Table2_2[[#This Row],[Datushka]]),0)*1</f>
        <v>2182</v>
      </c>
      <c r="C236" s="4">
        <f>GLW(TRIM(Table2_2[[#This Row],[Datushka]]),1)*1</f>
        <v>1694</v>
      </c>
      <c r="D236" s="4">
        <f>GLW(TRIM(Table2_2[[#This Row],[Datushka]]),2)*1</f>
        <v>3876</v>
      </c>
      <c r="E236" s="4">
        <f>SUM($D$2:D236)</f>
        <v>2344835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28C4A60-E2A0-43E6-BF1F-130A607D1CD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Importme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NKistandard</dc:creator>
  <cp:lastModifiedBy>NKistandard</cp:lastModifiedBy>
  <dcterms:created xsi:type="dcterms:W3CDTF">2018-08-01T08:44:46Z</dcterms:created>
  <dcterms:modified xsi:type="dcterms:W3CDTF">2018-08-01T09:16:52Z</dcterms:modified>
</cp:coreProperties>
</file>