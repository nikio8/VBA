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Kistandard\Desktop\"/>
    </mc:Choice>
  </mc:AlternateContent>
  <xr:revisionPtr revIDLastSave="0" documentId="13_ncr:1_{0ADF70A6-D486-4115-A6CF-C8A57FF58BDD}" xr6:coauthVersionLast="36" xr6:coauthVersionMax="36" xr10:uidLastSave="{00000000-0000-0000-0000-000000000000}"/>
  <bookViews>
    <workbookView xWindow="0" yWindow="0" windowWidth="22770" windowHeight="6285" activeTab="5" xr2:uid="{1985C429-AED8-4F9F-A12C-4337D117BD91}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  <sheet name="cheque" sheetId="6" r:id="rId6"/>
  </sheets>
  <functionGroups builtInGroupCount="19"/>
  <definedNames>
    <definedName name="_xlnm._FilterDatabase" localSheetId="5" hidden="1">cheque!$A$1:$F$24</definedName>
  </definedName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F3" i="6" l="1"/>
  <c r="F4" i="6"/>
  <c r="F5" i="6"/>
  <c r="F6" i="6"/>
  <c r="F7" i="6"/>
  <c r="F8" i="6"/>
  <c r="F9" i="6"/>
  <c r="F10" i="6"/>
  <c r="F11" i="6"/>
  <c r="F12" i="6"/>
  <c r="F13" i="6"/>
  <c r="F14" i="6"/>
  <c r="F15" i="6"/>
  <c r="F16" i="6"/>
  <c r="F17" i="6"/>
  <c r="F18" i="6"/>
  <c r="F19" i="6"/>
  <c r="F20" i="6"/>
  <c r="F21" i="6"/>
  <c r="F22" i="6"/>
  <c r="F23" i="6"/>
  <c r="F24" i="6"/>
  <c r="F2" i="6"/>
  <c r="M6" i="6"/>
  <c r="M7" i="6"/>
  <c r="L4" i="6" l="1"/>
  <c r="M8" i="6"/>
  <c r="L8" i="6" s="1"/>
  <c r="A3" i="5"/>
  <c r="A5" i="5"/>
  <c r="A6" i="5"/>
  <c r="A7" i="5"/>
  <c r="A8" i="5"/>
  <c r="A9" i="5"/>
  <c r="B4" i="5"/>
  <c r="A4" i="5" s="1"/>
  <c r="B2" i="5"/>
  <c r="A2" i="5" s="1"/>
  <c r="A10" i="5"/>
  <c r="L9" i="6" l="1"/>
  <c r="B3" i="4"/>
  <c r="B4" i="4"/>
  <c r="B5" i="4"/>
  <c r="B6" i="4"/>
  <c r="B7" i="4"/>
  <c r="B8" i="4"/>
  <c r="B9" i="4"/>
  <c r="B10" i="4"/>
  <c r="B11" i="4"/>
  <c r="B2" i="4"/>
  <c r="F3" i="3"/>
  <c r="G3" i="3"/>
  <c r="H3" i="3"/>
  <c r="I3" i="3"/>
  <c r="J3" i="3"/>
  <c r="K3" i="3"/>
  <c r="F4" i="3"/>
  <c r="G4" i="3"/>
  <c r="H4" i="3"/>
  <c r="I4" i="3"/>
  <c r="J4" i="3"/>
  <c r="K4" i="3"/>
  <c r="F5" i="3"/>
  <c r="G5" i="3"/>
  <c r="H5" i="3"/>
  <c r="I5" i="3"/>
  <c r="J5" i="3"/>
  <c r="K5" i="3"/>
  <c r="F6" i="3"/>
  <c r="G6" i="3"/>
  <c r="H6" i="3"/>
  <c r="I6" i="3"/>
  <c r="J6" i="3"/>
  <c r="K6" i="3"/>
  <c r="F7" i="3"/>
  <c r="G7" i="3"/>
  <c r="H7" i="3"/>
  <c r="I7" i="3"/>
  <c r="J7" i="3"/>
  <c r="K7" i="3"/>
  <c r="F8" i="3"/>
  <c r="G8" i="3"/>
  <c r="H8" i="3"/>
  <c r="I8" i="3"/>
  <c r="J8" i="3"/>
  <c r="K8" i="3"/>
  <c r="G2" i="3"/>
  <c r="H2" i="3"/>
  <c r="I2" i="3"/>
  <c r="J2" i="3"/>
  <c r="K2" i="3"/>
  <c r="F2" i="3"/>
  <c r="L6" i="1"/>
  <c r="L4" i="1"/>
  <c r="K6" i="1"/>
  <c r="K4" i="1"/>
  <c r="J6" i="1"/>
  <c r="G15" i="1" s="1"/>
  <c r="J4" i="1"/>
  <c r="L7" i="3"/>
  <c r="L2" i="3"/>
  <c r="L6" i="3"/>
  <c r="L5" i="3"/>
  <c r="L8" i="3"/>
  <c r="L3" i="3"/>
  <c r="L4" i="3"/>
  <c r="M4" i="1" l="1"/>
  <c r="N4" i="1" s="1"/>
  <c r="M6" i="1"/>
  <c r="O6" i="1"/>
  <c r="N6" i="1"/>
  <c r="O4" i="1"/>
</calcChain>
</file>

<file path=xl/sharedStrings.xml><?xml version="1.0" encoding="utf-8"?>
<sst xmlns="http://schemas.openxmlformats.org/spreadsheetml/2006/main" count="114" uniqueCount="73">
  <si>
    <t>Number of products</t>
  </si>
  <si>
    <t>Ordernumber</t>
  </si>
  <si>
    <t>Timestamp</t>
  </si>
  <si>
    <t>No of prods</t>
  </si>
  <si>
    <t>Start time</t>
  </si>
  <si>
    <t>End Tme</t>
  </si>
  <si>
    <t>Time taken</t>
  </si>
  <si>
    <t>Time per product</t>
  </si>
  <si>
    <t>Formated time</t>
  </si>
  <si>
    <t>F</t>
  </si>
  <si>
    <t>G</t>
  </si>
  <si>
    <t>H</t>
  </si>
  <si>
    <t>I</t>
  </si>
  <si>
    <t>K</t>
  </si>
  <si>
    <t>L</t>
  </si>
  <si>
    <t>M</t>
  </si>
  <si>
    <t>N</t>
  </si>
  <si>
    <t>Name</t>
  </si>
  <si>
    <t>Reporting period</t>
  </si>
  <si>
    <t>Condition</t>
  </si>
  <si>
    <t>Location</t>
  </si>
  <si>
    <t>Feed</t>
  </si>
  <si>
    <t>ID1</t>
  </si>
  <si>
    <t>UK</t>
  </si>
  <si>
    <t>Nil</t>
  </si>
  <si>
    <t>ID2</t>
  </si>
  <si>
    <t>brain, blood, urinary, dental</t>
  </si>
  <si>
    <t>US</t>
  </si>
  <si>
    <t>Tube</t>
  </si>
  <si>
    <t>ID3</t>
  </si>
  <si>
    <t>eye, dental</t>
  </si>
  <si>
    <t>Can</t>
  </si>
  <si>
    <t>Drip</t>
  </si>
  <si>
    <t>dental, urinary, brain, blood</t>
  </si>
  <si>
    <t>eye</t>
  </si>
  <si>
    <t>headaches</t>
  </si>
  <si>
    <t>dental</t>
  </si>
  <si>
    <t>check for errors</t>
  </si>
  <si>
    <t>blood, urinary, dental</t>
  </si>
  <si>
    <t>urinary</t>
  </si>
  <si>
    <t>blood</t>
  </si>
  <si>
    <t>brain</t>
  </si>
  <si>
    <t>brain, urinary, dental, eye,</t>
  </si>
  <si>
    <t>headaches, dental, eyyeh</t>
  </si>
  <si>
    <t>Completed - 14 Days</t>
  </si>
  <si>
    <t>Rejected - 84 Days</t>
  </si>
  <si>
    <t>Rejected - 103 Days</t>
  </si>
  <si>
    <t>Completed - 0 Days</t>
  </si>
  <si>
    <t>WIP - 601 Days</t>
  </si>
  <si>
    <t>NotStarted - 684 Days</t>
  </si>
  <si>
    <t>NotStarted</t>
  </si>
  <si>
    <t>NotStarted - 84 Days</t>
  </si>
  <si>
    <t>aaa</t>
  </si>
  <si>
    <t>sss</t>
  </si>
  <si>
    <t>Header</t>
  </si>
  <si>
    <t>Rows to dupl</t>
  </si>
  <si>
    <t>ColC</t>
  </si>
  <si>
    <t>ColD</t>
  </si>
  <si>
    <t>ColE</t>
  </si>
  <si>
    <t>ColF</t>
  </si>
  <si>
    <t>ColG</t>
  </si>
  <si>
    <t>Date</t>
  </si>
  <si>
    <t>Cheque</t>
  </si>
  <si>
    <t>Date Presented</t>
  </si>
  <si>
    <t>Presented</t>
  </si>
  <si>
    <t>Historical</t>
  </si>
  <si>
    <t>Y</t>
  </si>
  <si>
    <t>Amount</t>
  </si>
  <si>
    <t>Outstanding Amount</t>
  </si>
  <si>
    <t>Previous day</t>
  </si>
  <si>
    <t>Minus presented</t>
  </si>
  <si>
    <t>Plus new cheques</t>
  </si>
  <si>
    <t>Balance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</si>
</sst>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$&quot;#,##0.00;\-&quot;$&quot;#,##0.00"/>
    <numFmt numFmtId="44" formatCode="_-&quot;$&quot;* #,##0.00_-;\-&quot;$&quot;* #,##0.00_-;_-&quot;$&quot;* &quot;-&quot;??_-;_-@_-"/>
    <numFmt numFmtId="164" formatCode="[$-F400]h:mm:ss\ AM/PM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5">
    <xf numFmtId="0" fontId="0" fillId="0" borderId="0" xfId="0"/>
    <xf numFmtId="0" fontId="0" fillId="2" borderId="0" xfId="0" applyFill="1"/>
    <xf numFmtId="164" fontId="0" fillId="0" borderId="0" xfId="0" applyNumberFormat="1"/>
    <xf numFmtId="0" fontId="0" fillId="0" borderId="0" xfId="0" applyNumberFormat="1"/>
    <xf numFmtId="0" fontId="0" fillId="3" borderId="0" xfId="0" applyFill="1"/>
    <xf numFmtId="17" fontId="0" fillId="0" borderId="0" xfId="0" applyNumberFormat="1"/>
    <xf numFmtId="0" fontId="1" fillId="0" borderId="0" xfId="0" applyFont="1"/>
    <xf numFmtId="0" fontId="1" fillId="3" borderId="0" xfId="0" applyFont="1" applyFill="1"/>
    <xf numFmtId="0" fontId="1" fillId="2" borderId="0" xfId="0" applyFont="1" applyFill="1"/>
    <xf numFmtId="0" fontId="0" fillId="3" borderId="0" xfId="0" applyFill="1" applyAlignment="1">
      <alignment horizontal="left" indent="4"/>
    </xf>
    <xf numFmtId="0" fontId="0" fillId="4" borderId="0" xfId="0" applyFill="1" applyAlignment="1">
      <alignment horizontal="left" indent="4"/>
    </xf>
    <xf numFmtId="14" fontId="0" fillId="0" borderId="0" xfId="0" applyNumberFormat="1"/>
    <xf numFmtId="44" fontId="0" fillId="0" borderId="0" xfId="1" applyFont="1"/>
    <xf numFmtId="44" fontId="0" fillId="0" borderId="1" xfId="1" applyFont="1" applyBorder="1"/>
    <xf numFmtId="7" fontId="0" fillId="0" borderId="0" xfId="1" applyNumberFormat="1" applyFont="1"/>
  </cellXfs>
  <cellStyles count="2">
    <cellStyle name="Currency" xfId="1" builtinId="4"/>
    <cellStyle name="Normal" xfId="0" builtinId="0"/>
  </cellStyles>
  <dxfs count="1"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14</xdr:row>
          <xdr:rowOff>9525</xdr:rowOff>
        </xdr:from>
        <xdr:to>
          <xdr:col>4</xdr:col>
          <xdr:colOff>371475</xdr:colOff>
          <xdr:row>16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390525</xdr:colOff>
          <xdr:row>0</xdr:row>
          <xdr:rowOff>66675</xdr:rowOff>
        </xdr:from>
        <xdr:to>
          <xdr:col>17</xdr:col>
          <xdr:colOff>66675</xdr:colOff>
          <xdr:row>1</xdr:row>
          <xdr:rowOff>57150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600075</xdr:colOff>
          <xdr:row>0</xdr:row>
          <xdr:rowOff>171450</xdr:rowOff>
        </xdr:from>
        <xdr:to>
          <xdr:col>15</xdr:col>
          <xdr:colOff>266700</xdr:colOff>
          <xdr:row>2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C240F2F-9949-459C-BE49-8CB6764F6F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19050</xdr:colOff>
          <xdr:row>2</xdr:row>
          <xdr:rowOff>190499</xdr:rowOff>
        </xdr:from>
        <xdr:to>
          <xdr:col>15</xdr:col>
          <xdr:colOff>552450</xdr:colOff>
          <xdr:row>5</xdr:row>
          <xdr:rowOff>47624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814FBC2A-9979-4422-9718-FFD9C3ADA4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previous day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47E7D6-A8AF-40F2-AFE7-1A87EB6EE2AF}">
  <sheetPr codeName="Sheet1"/>
  <dimension ref="A2:O15"/>
  <sheetViews>
    <sheetView workbookViewId="0">
      <selection activeCell="G14" sqref="G14"/>
    </sheetView>
  </sheetViews>
  <sheetFormatPr defaultRowHeight="15" x14ac:dyDescent="0.25"/>
  <cols>
    <col min="1" max="1" width="19" bestFit="1" customWidth="1"/>
    <col min="2" max="2" width="13.28515625" bestFit="1" customWidth="1"/>
    <col min="3" max="3" width="11.5703125" bestFit="1" customWidth="1"/>
    <col min="9" max="9" width="6.7109375" bestFit="1" customWidth="1"/>
    <col min="10" max="10" width="15.85546875" bestFit="1" customWidth="1"/>
    <col min="11" max="11" width="15.5703125" bestFit="1" customWidth="1"/>
    <col min="12" max="12" width="15.7109375" bestFit="1" customWidth="1"/>
    <col min="13" max="13" width="5.5703125" bestFit="1" customWidth="1"/>
    <col min="14" max="14" width="13.28515625" bestFit="1" customWidth="1"/>
    <col min="15" max="15" width="14.5703125" bestFit="1" customWidth="1"/>
  </cols>
  <sheetData>
    <row r="2" spans="1:15" x14ac:dyDescent="0.25">
      <c r="A2" t="s">
        <v>0</v>
      </c>
      <c r="B2" t="s">
        <v>1</v>
      </c>
      <c r="C2" t="s">
        <v>2</v>
      </c>
      <c r="I2" t="s">
        <v>1</v>
      </c>
      <c r="J2" t="s">
        <v>3</v>
      </c>
      <c r="K2" t="s">
        <v>4</v>
      </c>
      <c r="L2" t="s">
        <v>5</v>
      </c>
      <c r="M2" t="s">
        <v>6</v>
      </c>
      <c r="N2" t="s">
        <v>8</v>
      </c>
      <c r="O2" t="s">
        <v>7</v>
      </c>
    </row>
    <row r="4" spans="1:15" x14ac:dyDescent="0.25">
      <c r="A4">
        <v>2</v>
      </c>
      <c r="B4">
        <v>1100</v>
      </c>
      <c r="C4" s="2">
        <v>0.42524305555555553</v>
      </c>
      <c r="I4">
        <v>1100</v>
      </c>
      <c r="J4">
        <f>SUMIFS($A$2:$A$8,$B$2:$B$8,I4)</f>
        <v>4</v>
      </c>
      <c r="K4" s="2">
        <f>_xlfn.MINIFS($C$4:$C$8,$B$4:$B$8,I4)</f>
        <v>0.42524305555555553</v>
      </c>
      <c r="L4" s="2">
        <f>_xlfn.MAXIFS($C$4:$C$8,$B$4:$B$8,I4)</f>
        <v>0.42651620370370374</v>
      </c>
      <c r="M4" s="3">
        <f>L4-K4</f>
        <v>1.2731481481482176E-3</v>
      </c>
      <c r="N4" s="3" t="str">
        <f>TEXT(M4,"HH:MM_ss")&amp;"s"</f>
        <v>00:01 50s</v>
      </c>
      <c r="O4" s="3" t="str">
        <f>TEXT(M4/J4,"HH:MM_ss")&amp;"s"</f>
        <v>00:00 28s</v>
      </c>
    </row>
    <row r="5" spans="1:15" x14ac:dyDescent="0.25">
      <c r="C5" s="2"/>
      <c r="K5" s="2"/>
      <c r="L5" s="2"/>
      <c r="M5" s="3"/>
      <c r="N5" s="3"/>
      <c r="O5" s="3"/>
    </row>
    <row r="6" spans="1:15" x14ac:dyDescent="0.25">
      <c r="A6">
        <v>4</v>
      </c>
      <c r="B6">
        <v>1200</v>
      </c>
      <c r="C6" s="2">
        <v>0.42648148148148146</v>
      </c>
      <c r="I6">
        <v>1200</v>
      </c>
      <c r="J6">
        <f>SUMIFS($A$2:$A$8,$B$2:$B$8,I6)</f>
        <v>8</v>
      </c>
      <c r="K6" s="2">
        <f>_xlfn.MINIFS($C$4:$C$8,$B$4:$B$8,I6)</f>
        <v>0.42648148148148146</v>
      </c>
      <c r="L6" s="2">
        <f>_xlfn.MAXIFS($C$4:$C$8,$B$4:$B$8,I6)</f>
        <v>0.42662037037037037</v>
      </c>
      <c r="M6" s="3">
        <f>L6-K6</f>
        <v>1.388888888889106E-4</v>
      </c>
      <c r="N6" s="3" t="str">
        <f>TEXT(M6,"HH:MM_ss")&amp;"s"</f>
        <v>00:00 12s</v>
      </c>
      <c r="O6" s="3" t="str">
        <f>TEXT(M6/J6,"HH:MM_ss")&amp;"s"</f>
        <v>00:00 2s</v>
      </c>
    </row>
    <row r="7" spans="1:15" x14ac:dyDescent="0.25">
      <c r="A7">
        <v>2</v>
      </c>
      <c r="B7">
        <v>1100</v>
      </c>
      <c r="C7" s="2">
        <v>0.42651620370370374</v>
      </c>
    </row>
    <row r="8" spans="1:15" x14ac:dyDescent="0.25">
      <c r="A8">
        <v>4</v>
      </c>
      <c r="B8">
        <v>1200</v>
      </c>
      <c r="C8" s="2">
        <v>0.42662037037037037</v>
      </c>
    </row>
    <row r="15" spans="1:15" x14ac:dyDescent="0.25">
      <c r="B15" s="1">
        <v>456</v>
      </c>
      <c r="G15" t="str">
        <f>_xlfn.CONCAT(I4,I6,J6)</f>
        <v>110012008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HondaEpcNumber_Click">
                <anchor moveWithCells="1" sizeWithCells="1">
                  <from>
                    <xdr:col>3</xdr:col>
                    <xdr:colOff>9525</xdr:colOff>
                    <xdr:row>14</xdr:row>
                    <xdr:rowOff>9525</xdr:rowOff>
                  </from>
                  <to>
                    <xdr:col>4</xdr:col>
                    <xdr:colOff>371475</xdr:colOff>
                    <xdr:row>16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3EE430-9FA7-4F23-A324-743FDB2DCDBA}">
  <sheetPr codeName="Sheet2"/>
  <dimension ref="B2:L21"/>
  <sheetViews>
    <sheetView workbookViewId="0">
      <selection activeCell="A7" sqref="A7:XFD7"/>
    </sheetView>
  </sheetViews>
  <sheetFormatPr defaultRowHeight="15" x14ac:dyDescent="0.25"/>
  <sheetData>
    <row r="2" spans="2:12" x14ac:dyDescent="0.25">
      <c r="B2">
        <v>3</v>
      </c>
      <c r="C2" t="s">
        <v>9</v>
      </c>
      <c r="D2" t="s">
        <v>10</v>
      </c>
      <c r="E2" t="s">
        <v>11</v>
      </c>
      <c r="F2" t="s">
        <v>12</v>
      </c>
      <c r="G2" t="s">
        <v>13</v>
      </c>
      <c r="H2" t="s">
        <v>14</v>
      </c>
      <c r="I2" t="s">
        <v>13</v>
      </c>
      <c r="J2" t="s">
        <v>14</v>
      </c>
      <c r="K2" t="s">
        <v>15</v>
      </c>
      <c r="L2" t="s">
        <v>16</v>
      </c>
    </row>
    <row r="3" spans="2:12" x14ac:dyDescent="0.25">
      <c r="B3">
        <v>4</v>
      </c>
      <c r="C3">
        <v>30</v>
      </c>
      <c r="D3">
        <v>5</v>
      </c>
      <c r="E3">
        <v>10</v>
      </c>
      <c r="F3">
        <v>5</v>
      </c>
      <c r="G3">
        <v>3</v>
      </c>
      <c r="H3">
        <v>3</v>
      </c>
      <c r="I3">
        <v>5</v>
      </c>
      <c r="J3">
        <v>5</v>
      </c>
      <c r="K3">
        <v>5</v>
      </c>
      <c r="L3">
        <v>3</v>
      </c>
    </row>
    <row r="4" spans="2:12" x14ac:dyDescent="0.25">
      <c r="B4">
        <v>4</v>
      </c>
      <c r="C4">
        <v>35</v>
      </c>
      <c r="D4">
        <v>5</v>
      </c>
      <c r="E4">
        <v>10</v>
      </c>
      <c r="F4">
        <v>5</v>
      </c>
      <c r="G4">
        <v>3</v>
      </c>
      <c r="H4">
        <v>3</v>
      </c>
      <c r="I4">
        <v>5</v>
      </c>
      <c r="J4">
        <v>5</v>
      </c>
      <c r="K4">
        <v>5</v>
      </c>
      <c r="L4">
        <v>3</v>
      </c>
    </row>
    <row r="5" spans="2:12" x14ac:dyDescent="0.25">
      <c r="B5">
        <v>4</v>
      </c>
      <c r="C5">
        <v>35</v>
      </c>
      <c r="D5">
        <v>5</v>
      </c>
      <c r="E5">
        <v>10</v>
      </c>
      <c r="F5">
        <v>5</v>
      </c>
      <c r="G5">
        <v>3</v>
      </c>
      <c r="H5">
        <v>3</v>
      </c>
      <c r="I5">
        <v>5</v>
      </c>
      <c r="J5">
        <v>5</v>
      </c>
      <c r="K5">
        <v>5</v>
      </c>
      <c r="L5">
        <v>3</v>
      </c>
    </row>
    <row r="6" spans="2:12" x14ac:dyDescent="0.25">
      <c r="B6">
        <v>4</v>
      </c>
      <c r="C6">
        <v>35</v>
      </c>
      <c r="D6">
        <v>5</v>
      </c>
      <c r="E6">
        <v>10</v>
      </c>
      <c r="F6">
        <v>5</v>
      </c>
      <c r="G6">
        <v>3</v>
      </c>
      <c r="H6">
        <v>3</v>
      </c>
      <c r="I6">
        <v>5</v>
      </c>
      <c r="J6">
        <v>5</v>
      </c>
      <c r="K6">
        <v>5</v>
      </c>
      <c r="L6">
        <v>3</v>
      </c>
    </row>
    <row r="7" spans="2:12" x14ac:dyDescent="0.25">
      <c r="B7">
        <v>4</v>
      </c>
      <c r="C7">
        <v>35</v>
      </c>
      <c r="D7">
        <v>5</v>
      </c>
      <c r="E7">
        <v>10</v>
      </c>
      <c r="F7">
        <v>5</v>
      </c>
      <c r="G7">
        <v>3</v>
      </c>
      <c r="H7">
        <v>3</v>
      </c>
      <c r="I7">
        <v>5</v>
      </c>
      <c r="J7">
        <v>5</v>
      </c>
      <c r="K7">
        <v>5</v>
      </c>
      <c r="L7">
        <v>3</v>
      </c>
    </row>
    <row r="8" spans="2:12" s="4" customFormat="1" x14ac:dyDescent="0.25">
      <c r="B8" s="4">
        <v>4</v>
      </c>
      <c r="C8" s="4">
        <v>40</v>
      </c>
      <c r="D8" s="4">
        <v>5</v>
      </c>
      <c r="E8" s="4">
        <v>10</v>
      </c>
      <c r="F8" s="4">
        <v>5</v>
      </c>
      <c r="G8" s="4">
        <v>3</v>
      </c>
      <c r="H8" s="4">
        <v>3</v>
      </c>
      <c r="I8" s="4">
        <v>5</v>
      </c>
      <c r="J8" s="4">
        <v>5</v>
      </c>
      <c r="K8" s="4">
        <v>5</v>
      </c>
      <c r="L8" s="4">
        <v>3</v>
      </c>
    </row>
    <row r="9" spans="2:12" x14ac:dyDescent="0.25">
      <c r="B9">
        <v>4</v>
      </c>
      <c r="C9">
        <v>45</v>
      </c>
      <c r="D9">
        <v>5</v>
      </c>
      <c r="E9">
        <v>10</v>
      </c>
      <c r="F9">
        <v>5</v>
      </c>
      <c r="G9">
        <v>3</v>
      </c>
      <c r="H9">
        <v>3</v>
      </c>
      <c r="I9">
        <v>5</v>
      </c>
      <c r="J9">
        <v>5</v>
      </c>
      <c r="K9">
        <v>5</v>
      </c>
      <c r="L9">
        <v>3</v>
      </c>
    </row>
    <row r="10" spans="2:12" x14ac:dyDescent="0.25">
      <c r="B10">
        <v>4</v>
      </c>
      <c r="C10">
        <v>50</v>
      </c>
      <c r="D10">
        <v>5</v>
      </c>
      <c r="E10">
        <v>10</v>
      </c>
      <c r="F10">
        <v>5</v>
      </c>
      <c r="G10">
        <v>3</v>
      </c>
      <c r="H10">
        <v>3</v>
      </c>
      <c r="I10">
        <v>5</v>
      </c>
      <c r="J10">
        <v>5</v>
      </c>
      <c r="K10">
        <v>5</v>
      </c>
      <c r="L10">
        <v>3</v>
      </c>
    </row>
    <row r="11" spans="2:12" x14ac:dyDescent="0.25">
      <c r="B11">
        <v>4</v>
      </c>
      <c r="C11">
        <v>55</v>
      </c>
      <c r="D11">
        <v>5</v>
      </c>
      <c r="E11">
        <v>10</v>
      </c>
      <c r="F11">
        <v>5</v>
      </c>
      <c r="G11">
        <v>3</v>
      </c>
      <c r="H11">
        <v>3</v>
      </c>
      <c r="I11">
        <v>5</v>
      </c>
      <c r="J11">
        <v>5</v>
      </c>
      <c r="K11">
        <v>5</v>
      </c>
      <c r="L11">
        <v>3</v>
      </c>
    </row>
    <row r="12" spans="2:12" x14ac:dyDescent="0.25">
      <c r="B12">
        <v>4</v>
      </c>
      <c r="C12">
        <v>60</v>
      </c>
      <c r="D12">
        <v>5</v>
      </c>
      <c r="E12">
        <v>10</v>
      </c>
      <c r="F12">
        <v>5</v>
      </c>
      <c r="G12">
        <v>3</v>
      </c>
      <c r="H12">
        <v>3</v>
      </c>
      <c r="I12">
        <v>5</v>
      </c>
      <c r="J12">
        <v>5</v>
      </c>
      <c r="K12">
        <v>5</v>
      </c>
      <c r="L12">
        <v>3</v>
      </c>
    </row>
    <row r="13" spans="2:12" x14ac:dyDescent="0.25">
      <c r="B13">
        <v>4</v>
      </c>
      <c r="C13">
        <v>65</v>
      </c>
      <c r="D13">
        <v>5</v>
      </c>
      <c r="E13">
        <v>10</v>
      </c>
      <c r="F13">
        <v>5</v>
      </c>
      <c r="G13">
        <v>3</v>
      </c>
      <c r="H13">
        <v>3</v>
      </c>
      <c r="I13">
        <v>5</v>
      </c>
      <c r="J13">
        <v>5</v>
      </c>
      <c r="K13">
        <v>5</v>
      </c>
      <c r="L13">
        <v>3</v>
      </c>
    </row>
    <row r="14" spans="2:12" x14ac:dyDescent="0.25">
      <c r="B14">
        <v>4</v>
      </c>
      <c r="C14">
        <v>30</v>
      </c>
      <c r="D14">
        <v>5</v>
      </c>
      <c r="E14">
        <v>10</v>
      </c>
      <c r="F14">
        <v>5</v>
      </c>
      <c r="G14">
        <v>3</v>
      </c>
      <c r="H14">
        <v>3</v>
      </c>
      <c r="I14">
        <v>5</v>
      </c>
      <c r="J14">
        <v>5</v>
      </c>
      <c r="K14">
        <v>5</v>
      </c>
      <c r="L14">
        <v>3</v>
      </c>
    </row>
    <row r="15" spans="2:12" x14ac:dyDescent="0.25">
      <c r="B15">
        <v>4</v>
      </c>
      <c r="C15">
        <v>35</v>
      </c>
      <c r="D15">
        <v>5</v>
      </c>
      <c r="E15">
        <v>10</v>
      </c>
      <c r="F15">
        <v>5</v>
      </c>
      <c r="G15">
        <v>3</v>
      </c>
      <c r="H15">
        <v>3</v>
      </c>
      <c r="I15">
        <v>5</v>
      </c>
      <c r="J15">
        <v>5</v>
      </c>
      <c r="K15">
        <v>5</v>
      </c>
      <c r="L15">
        <v>3</v>
      </c>
    </row>
    <row r="16" spans="2:12" x14ac:dyDescent="0.25">
      <c r="B16">
        <v>4</v>
      </c>
      <c r="C16">
        <v>40</v>
      </c>
      <c r="D16">
        <v>5</v>
      </c>
      <c r="E16">
        <v>10</v>
      </c>
      <c r="F16">
        <v>5</v>
      </c>
      <c r="G16">
        <v>3</v>
      </c>
      <c r="H16">
        <v>3</v>
      </c>
      <c r="I16">
        <v>5</v>
      </c>
      <c r="J16">
        <v>5</v>
      </c>
      <c r="K16">
        <v>5</v>
      </c>
      <c r="L16">
        <v>3</v>
      </c>
    </row>
    <row r="17" spans="2:12" x14ac:dyDescent="0.25">
      <c r="B17">
        <v>4</v>
      </c>
      <c r="C17">
        <v>45</v>
      </c>
      <c r="D17">
        <v>5</v>
      </c>
      <c r="E17">
        <v>10</v>
      </c>
      <c r="F17">
        <v>5</v>
      </c>
      <c r="G17">
        <v>3</v>
      </c>
      <c r="H17">
        <v>3</v>
      </c>
      <c r="I17">
        <v>5</v>
      </c>
      <c r="J17">
        <v>5</v>
      </c>
      <c r="K17">
        <v>5</v>
      </c>
      <c r="L17">
        <v>3</v>
      </c>
    </row>
    <row r="18" spans="2:12" x14ac:dyDescent="0.25">
      <c r="B18">
        <v>4</v>
      </c>
      <c r="C18">
        <v>50</v>
      </c>
      <c r="D18">
        <v>5</v>
      </c>
      <c r="E18">
        <v>10</v>
      </c>
      <c r="F18">
        <v>5</v>
      </c>
      <c r="G18">
        <v>3</v>
      </c>
      <c r="H18">
        <v>3</v>
      </c>
      <c r="I18">
        <v>5</v>
      </c>
      <c r="J18">
        <v>5</v>
      </c>
      <c r="K18">
        <v>5</v>
      </c>
      <c r="L18">
        <v>3</v>
      </c>
    </row>
    <row r="19" spans="2:12" x14ac:dyDescent="0.25">
      <c r="B19">
        <v>4</v>
      </c>
      <c r="C19">
        <v>55</v>
      </c>
      <c r="D19">
        <v>5</v>
      </c>
      <c r="E19">
        <v>10</v>
      </c>
      <c r="F19">
        <v>5</v>
      </c>
      <c r="G19">
        <v>3</v>
      </c>
      <c r="H19">
        <v>3</v>
      </c>
      <c r="I19">
        <v>5</v>
      </c>
      <c r="J19">
        <v>5</v>
      </c>
      <c r="K19">
        <v>5</v>
      </c>
      <c r="L19">
        <v>3</v>
      </c>
    </row>
    <row r="20" spans="2:12" x14ac:dyDescent="0.25">
      <c r="B20">
        <v>4</v>
      </c>
      <c r="C20">
        <v>60</v>
      </c>
      <c r="D20">
        <v>5</v>
      </c>
      <c r="E20">
        <v>10</v>
      </c>
      <c r="F20">
        <v>5</v>
      </c>
      <c r="G20">
        <v>3</v>
      </c>
      <c r="H20">
        <v>3</v>
      </c>
      <c r="I20">
        <v>5</v>
      </c>
      <c r="J20">
        <v>5</v>
      </c>
      <c r="K20">
        <v>5</v>
      </c>
      <c r="L20">
        <v>3</v>
      </c>
    </row>
    <row r="21" spans="2:12" x14ac:dyDescent="0.25">
      <c r="B21">
        <v>4</v>
      </c>
      <c r="C21">
        <v>65</v>
      </c>
      <c r="D21">
        <v>5</v>
      </c>
      <c r="E21">
        <v>10</v>
      </c>
      <c r="F21">
        <v>5</v>
      </c>
      <c r="G21">
        <v>3</v>
      </c>
      <c r="H21">
        <v>3</v>
      </c>
      <c r="I21">
        <v>5</v>
      </c>
      <c r="J21">
        <v>5</v>
      </c>
      <c r="K21">
        <v>5</v>
      </c>
      <c r="L21">
        <v>3</v>
      </c>
    </row>
  </sheetData>
  <conditionalFormatting sqref="C1:L1048576">
    <cfRule type="expression" dxfId="0" priority="1">
      <formula>$C1&lt;SUM($D1:$L1)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ickmeNR">
                <anchor moveWithCells="1" sizeWithCells="1">
                  <from>
                    <xdr:col>13</xdr:col>
                    <xdr:colOff>390525</xdr:colOff>
                    <xdr:row>0</xdr:row>
                    <xdr:rowOff>66675</xdr:rowOff>
                  </from>
                  <to>
                    <xdr:col>17</xdr:col>
                    <xdr:colOff>66675</xdr:colOff>
                    <xdr:row>1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52CA70-C8E7-4B0D-B25A-7AC665A9267A}">
  <sheetPr codeName="Sheet3"/>
  <dimension ref="A1:L8"/>
  <sheetViews>
    <sheetView workbookViewId="0">
      <selection activeCell="F2" sqref="F2"/>
    </sheetView>
  </sheetViews>
  <sheetFormatPr defaultRowHeight="15" x14ac:dyDescent="0.25"/>
  <cols>
    <col min="3" max="3" width="26.28515625" bestFit="1" customWidth="1"/>
    <col min="6" max="6" width="10.42578125" bestFit="1" customWidth="1"/>
    <col min="7" max="8" width="7.140625" bestFit="1" customWidth="1"/>
    <col min="9" max="9" width="7.28515625" bestFit="1" customWidth="1"/>
    <col min="10" max="11" width="7.140625" bestFit="1" customWidth="1"/>
    <col min="12" max="12" width="14.85546875" bestFit="1" customWidth="1"/>
  </cols>
  <sheetData>
    <row r="1" spans="1:12" x14ac:dyDescent="0.25">
      <c r="A1" s="6" t="s">
        <v>17</v>
      </c>
      <c r="B1" s="6" t="s">
        <v>18</v>
      </c>
      <c r="C1" s="6" t="s">
        <v>19</v>
      </c>
      <c r="D1" s="6" t="s">
        <v>20</v>
      </c>
      <c r="E1" s="6" t="s">
        <v>21</v>
      </c>
      <c r="F1" s="7" t="s">
        <v>35</v>
      </c>
      <c r="G1" s="7" t="s">
        <v>36</v>
      </c>
      <c r="H1" s="7" t="s">
        <v>34</v>
      </c>
      <c r="I1" s="7" t="s">
        <v>39</v>
      </c>
      <c r="J1" s="7" t="s">
        <v>40</v>
      </c>
      <c r="K1" s="7" t="s">
        <v>41</v>
      </c>
      <c r="L1" s="8" t="s">
        <v>37</v>
      </c>
    </row>
    <row r="2" spans="1:12" x14ac:dyDescent="0.25">
      <c r="A2" t="s">
        <v>22</v>
      </c>
      <c r="B2" s="5">
        <v>43252</v>
      </c>
      <c r="C2" t="s">
        <v>43</v>
      </c>
      <c r="D2" t="s">
        <v>23</v>
      </c>
      <c r="E2" t="s">
        <v>24</v>
      </c>
      <c r="F2" s="9">
        <f>IF(IFERROR(SEARCH(F$1,$C2)&gt;0,FALSE),1,0)</f>
        <v>1</v>
      </c>
      <c r="G2" s="9">
        <f t="shared" ref="G2:K8" si="0">IF(IFERROR(SEARCH(G$1,$C2)&gt;0,FALSE),1,0)</f>
        <v>1</v>
      </c>
      <c r="H2" s="9">
        <f t="shared" si="0"/>
        <v>0</v>
      </c>
      <c r="I2" s="9">
        <f t="shared" si="0"/>
        <v>0</v>
      </c>
      <c r="J2" s="9">
        <f t="shared" si="0"/>
        <v>0</v>
      </c>
      <c r="K2" s="9">
        <f t="shared" si="0"/>
        <v>0</v>
      </c>
      <c r="L2" s="10">
        <f>CountWords(C2)-SUM(F2:K2)</f>
        <v>1</v>
      </c>
    </row>
    <row r="3" spans="1:12" x14ac:dyDescent="0.25">
      <c r="A3" t="s">
        <v>22</v>
      </c>
      <c r="B3" s="5">
        <v>42887</v>
      </c>
      <c r="C3" t="s">
        <v>38</v>
      </c>
      <c r="D3" t="s">
        <v>23</v>
      </c>
      <c r="E3" t="s">
        <v>24</v>
      </c>
      <c r="F3" s="9">
        <f t="shared" ref="F3:F8" si="1">IF(IFERROR(SEARCH(F$1,$C3)&gt;0,FALSE),1,0)</f>
        <v>0</v>
      </c>
      <c r="G3" s="9">
        <f t="shared" si="0"/>
        <v>1</v>
      </c>
      <c r="H3" s="9">
        <f t="shared" si="0"/>
        <v>0</v>
      </c>
      <c r="I3" s="9">
        <f t="shared" si="0"/>
        <v>1</v>
      </c>
      <c r="J3" s="9">
        <f t="shared" si="0"/>
        <v>1</v>
      </c>
      <c r="K3" s="9">
        <f t="shared" si="0"/>
        <v>0</v>
      </c>
      <c r="L3" s="10">
        <f t="shared" ref="L3:L8" si="2">CountWords(C3)-SUM(F3:K3)</f>
        <v>0</v>
      </c>
    </row>
    <row r="4" spans="1:12" x14ac:dyDescent="0.25">
      <c r="A4" t="s">
        <v>25</v>
      </c>
      <c r="B4" s="5">
        <v>43252</v>
      </c>
      <c r="C4" t="s">
        <v>26</v>
      </c>
      <c r="D4" t="s">
        <v>27</v>
      </c>
      <c r="E4" t="s">
        <v>28</v>
      </c>
      <c r="F4" s="9">
        <f t="shared" si="1"/>
        <v>0</v>
      </c>
      <c r="G4" s="9">
        <f t="shared" si="0"/>
        <v>1</v>
      </c>
      <c r="H4" s="9">
        <f t="shared" si="0"/>
        <v>0</v>
      </c>
      <c r="I4" s="9">
        <f t="shared" si="0"/>
        <v>1</v>
      </c>
      <c r="J4" s="9">
        <f t="shared" si="0"/>
        <v>1</v>
      </c>
      <c r="K4" s="9">
        <f t="shared" si="0"/>
        <v>1</v>
      </c>
      <c r="L4" s="10">
        <f t="shared" si="2"/>
        <v>0</v>
      </c>
    </row>
    <row r="5" spans="1:12" x14ac:dyDescent="0.25">
      <c r="A5" t="s">
        <v>25</v>
      </c>
      <c r="B5" s="5">
        <v>42856</v>
      </c>
      <c r="C5" t="s">
        <v>42</v>
      </c>
      <c r="D5" t="s">
        <v>27</v>
      </c>
      <c r="E5" t="s">
        <v>28</v>
      </c>
      <c r="F5" s="9">
        <f t="shared" si="1"/>
        <v>0</v>
      </c>
      <c r="G5" s="9">
        <f t="shared" si="0"/>
        <v>1</v>
      </c>
      <c r="H5" s="9">
        <f t="shared" si="0"/>
        <v>1</v>
      </c>
      <c r="I5" s="9">
        <f t="shared" si="0"/>
        <v>1</v>
      </c>
      <c r="J5" s="9">
        <f t="shared" si="0"/>
        <v>0</v>
      </c>
      <c r="K5" s="9">
        <f t="shared" si="0"/>
        <v>1</v>
      </c>
      <c r="L5" s="10">
        <f t="shared" si="2"/>
        <v>0</v>
      </c>
    </row>
    <row r="6" spans="1:12" x14ac:dyDescent="0.25">
      <c r="A6" t="s">
        <v>29</v>
      </c>
      <c r="B6" s="5">
        <v>43191</v>
      </c>
      <c r="C6" t="s">
        <v>30</v>
      </c>
      <c r="D6" t="s">
        <v>31</v>
      </c>
      <c r="E6" t="s">
        <v>32</v>
      </c>
      <c r="F6" s="9">
        <f t="shared" si="1"/>
        <v>0</v>
      </c>
      <c r="G6" s="9">
        <f t="shared" si="0"/>
        <v>1</v>
      </c>
      <c r="H6" s="9">
        <f t="shared" si="0"/>
        <v>1</v>
      </c>
      <c r="I6" s="9">
        <f t="shared" si="0"/>
        <v>0</v>
      </c>
      <c r="J6" s="9">
        <f t="shared" si="0"/>
        <v>0</v>
      </c>
      <c r="K6" s="9">
        <f t="shared" si="0"/>
        <v>0</v>
      </c>
      <c r="L6" s="10">
        <f t="shared" si="2"/>
        <v>0</v>
      </c>
    </row>
    <row r="7" spans="1:12" x14ac:dyDescent="0.25">
      <c r="A7" t="s">
        <v>29</v>
      </c>
      <c r="B7" s="5">
        <v>42826</v>
      </c>
      <c r="C7" t="s">
        <v>30</v>
      </c>
      <c r="D7" t="s">
        <v>31</v>
      </c>
      <c r="E7" t="s">
        <v>32</v>
      </c>
      <c r="F7" s="9">
        <f t="shared" si="1"/>
        <v>0</v>
      </c>
      <c r="G7" s="9">
        <f t="shared" si="0"/>
        <v>1</v>
      </c>
      <c r="H7" s="9">
        <f t="shared" si="0"/>
        <v>1</v>
      </c>
      <c r="I7" s="9">
        <f t="shared" si="0"/>
        <v>0</v>
      </c>
      <c r="J7" s="9">
        <f t="shared" si="0"/>
        <v>0</v>
      </c>
      <c r="K7" s="9">
        <f t="shared" si="0"/>
        <v>0</v>
      </c>
      <c r="L7" s="10">
        <f t="shared" si="2"/>
        <v>0</v>
      </c>
    </row>
    <row r="8" spans="1:12" x14ac:dyDescent="0.25">
      <c r="A8" t="s">
        <v>29</v>
      </c>
      <c r="B8" s="5">
        <v>42339</v>
      </c>
      <c r="C8" t="s">
        <v>33</v>
      </c>
      <c r="D8" t="s">
        <v>31</v>
      </c>
      <c r="E8" t="s">
        <v>32</v>
      </c>
      <c r="F8" s="9">
        <f t="shared" si="1"/>
        <v>0</v>
      </c>
      <c r="G8" s="9">
        <f t="shared" si="0"/>
        <v>1</v>
      </c>
      <c r="H8" s="9">
        <f t="shared" si="0"/>
        <v>0</v>
      </c>
      <c r="I8" s="9">
        <f t="shared" si="0"/>
        <v>1</v>
      </c>
      <c r="J8" s="9">
        <f t="shared" si="0"/>
        <v>1</v>
      </c>
      <c r="K8" s="9">
        <f t="shared" si="0"/>
        <v>1</v>
      </c>
      <c r="L8" s="10">
        <f t="shared" si="2"/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D1E8F9-8C5F-4C12-9702-8C9AE883E565}">
  <sheetPr codeName="Sheet4"/>
  <dimension ref="A1:B11"/>
  <sheetViews>
    <sheetView workbookViewId="0">
      <selection activeCell="F5" sqref="F5"/>
    </sheetView>
  </sheetViews>
  <sheetFormatPr defaultRowHeight="15" x14ac:dyDescent="0.25"/>
  <cols>
    <col min="1" max="1" width="20.140625" bestFit="1" customWidth="1"/>
  </cols>
  <sheetData>
    <row r="1" spans="1:2" x14ac:dyDescent="0.25">
      <c r="A1" t="s">
        <v>52</v>
      </c>
      <c r="B1" t="s">
        <v>53</v>
      </c>
    </row>
    <row r="2" spans="1:2" x14ac:dyDescent="0.25">
      <c r="A2" t="s">
        <v>44</v>
      </c>
      <c r="B2">
        <f>IF(IFERROR(FIND("-",A2)&gt;0,FALSE),SUBSTITUTE(MID(A2,FIND("-",A2)+2,100)," Days","")*1,0)</f>
        <v>14</v>
      </c>
    </row>
    <row r="3" spans="1:2" x14ac:dyDescent="0.25">
      <c r="A3" t="s">
        <v>47</v>
      </c>
      <c r="B3">
        <f t="shared" ref="B3:B11" si="0">IF(IFERROR(FIND("-",A3)&gt;0,FALSE),SUBSTITUTE(MID(A3,FIND("-",A3)+2,100)," Days","")*1,0)</f>
        <v>0</v>
      </c>
    </row>
    <row r="4" spans="1:2" x14ac:dyDescent="0.25">
      <c r="A4" t="s">
        <v>45</v>
      </c>
      <c r="B4">
        <f t="shared" si="0"/>
        <v>84</v>
      </c>
    </row>
    <row r="5" spans="1:2" x14ac:dyDescent="0.25">
      <c r="A5" t="s">
        <v>46</v>
      </c>
      <c r="B5">
        <f t="shared" si="0"/>
        <v>103</v>
      </c>
    </row>
    <row r="6" spans="1:2" x14ac:dyDescent="0.25">
      <c r="A6" t="s">
        <v>47</v>
      </c>
      <c r="B6">
        <f t="shared" si="0"/>
        <v>0</v>
      </c>
    </row>
    <row r="7" spans="1:2" x14ac:dyDescent="0.25">
      <c r="A7" t="s">
        <v>45</v>
      </c>
      <c r="B7">
        <f t="shared" si="0"/>
        <v>84</v>
      </c>
    </row>
    <row r="8" spans="1:2" x14ac:dyDescent="0.25">
      <c r="A8" t="s">
        <v>48</v>
      </c>
      <c r="B8">
        <f t="shared" si="0"/>
        <v>601</v>
      </c>
    </row>
    <row r="9" spans="1:2" x14ac:dyDescent="0.25">
      <c r="A9" t="s">
        <v>49</v>
      </c>
      <c r="B9">
        <f t="shared" si="0"/>
        <v>684</v>
      </c>
    </row>
    <row r="10" spans="1:2" x14ac:dyDescent="0.25">
      <c r="A10" t="s">
        <v>50</v>
      </c>
      <c r="B10">
        <f t="shared" si="0"/>
        <v>0</v>
      </c>
    </row>
    <row r="11" spans="1:2" x14ac:dyDescent="0.25">
      <c r="A11" t="s">
        <v>51</v>
      </c>
      <c r="B11">
        <f t="shared" si="0"/>
        <v>84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CE0D94-636E-4BA8-98AD-64F8AEBAFAA7}">
  <sheetPr codeName="Sheet5"/>
  <dimension ref="A1:G10"/>
  <sheetViews>
    <sheetView workbookViewId="0">
      <selection activeCell="A4" sqref="A4"/>
    </sheetView>
  </sheetViews>
  <sheetFormatPr defaultRowHeight="15" x14ac:dyDescent="0.25"/>
  <cols>
    <col min="1" max="2" width="12.42578125" bestFit="1" customWidth="1"/>
  </cols>
  <sheetData>
    <row r="1" spans="1:7" x14ac:dyDescent="0.25">
      <c r="A1" t="s">
        <v>54</v>
      </c>
      <c r="B1" t="s">
        <v>55</v>
      </c>
      <c r="C1" t="s">
        <v>56</v>
      </c>
      <c r="D1" t="s">
        <v>57</v>
      </c>
      <c r="E1" t="s">
        <v>58</v>
      </c>
      <c r="F1" t="s">
        <v>59</v>
      </c>
      <c r="G1" t="s">
        <v>60</v>
      </c>
    </row>
    <row r="2" spans="1:7" x14ac:dyDescent="0.25">
      <c r="A2" s="1" t="str">
        <f t="shared" ref="A2:A9" si="0">INDEX($B$1:$G$1,MATCH(FALSE,INDEX(ISBLANK($B2:$G2),0),0))</f>
        <v>Rows to dupl</v>
      </c>
      <c r="B2">
        <f>SUM(C2:G2)</f>
        <v>1</v>
      </c>
      <c r="C2">
        <v>1</v>
      </c>
    </row>
    <row r="3" spans="1:7" x14ac:dyDescent="0.25">
      <c r="A3" s="1" t="str">
        <f t="shared" si="0"/>
        <v>ColE</v>
      </c>
      <c r="E3">
        <v>1</v>
      </c>
    </row>
    <row r="4" spans="1:7" x14ac:dyDescent="0.25">
      <c r="A4" s="1" t="str">
        <f t="shared" si="0"/>
        <v>Rows to dupl</v>
      </c>
      <c r="B4">
        <f t="shared" ref="B4" si="1">SUM(C4:G4)</f>
        <v>3</v>
      </c>
      <c r="C4">
        <v>1</v>
      </c>
      <c r="D4">
        <v>1</v>
      </c>
      <c r="E4">
        <v>1</v>
      </c>
    </row>
    <row r="5" spans="1:7" x14ac:dyDescent="0.25">
      <c r="A5" s="1" t="e">
        <f t="shared" si="0"/>
        <v>#N/A</v>
      </c>
    </row>
    <row r="6" spans="1:7" x14ac:dyDescent="0.25">
      <c r="A6" s="1" t="str">
        <f t="shared" si="0"/>
        <v>ColC</v>
      </c>
      <c r="C6">
        <v>1</v>
      </c>
    </row>
    <row r="7" spans="1:7" x14ac:dyDescent="0.25">
      <c r="A7" s="1" t="str">
        <f t="shared" si="0"/>
        <v>ColD</v>
      </c>
      <c r="D7">
        <v>1</v>
      </c>
    </row>
    <row r="8" spans="1:7" x14ac:dyDescent="0.25">
      <c r="A8" s="1" t="str">
        <f t="shared" si="0"/>
        <v>ColE</v>
      </c>
      <c r="E8">
        <v>1</v>
      </c>
    </row>
    <row r="9" spans="1:7" x14ac:dyDescent="0.25">
      <c r="A9" s="1" t="e">
        <f t="shared" si="0"/>
        <v>#N/A</v>
      </c>
    </row>
    <row r="10" spans="1:7" x14ac:dyDescent="0.25">
      <c r="A10" s="1" t="str">
        <f t="shared" ref="A10" si="2">IF(COUNTA($B10:$D10)=0,"",INDEX($B$1:$G$1,MATCH(FALSE,INDEX(ISBLANK($B10:$G10),0),0)))</f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70332-2F9F-41CB-A298-37C11B9543E7}">
  <sheetPr codeName="Sheet6"/>
  <dimension ref="A1:M24"/>
  <sheetViews>
    <sheetView tabSelected="1" workbookViewId="0">
      <selection activeCell="F7" sqref="F7"/>
    </sheetView>
  </sheetViews>
  <sheetFormatPr defaultRowHeight="15" x14ac:dyDescent="0.25"/>
  <cols>
    <col min="1" max="1" width="9.7109375" bestFit="1" customWidth="1"/>
    <col min="3" max="3" width="9.140625" style="12"/>
    <col min="4" max="4" width="14.85546875" bestFit="1" customWidth="1"/>
    <col min="5" max="5" width="10.140625" customWidth="1"/>
    <col min="6" max="6" width="21.85546875" customWidth="1"/>
    <col min="11" max="11" width="19.7109375" bestFit="1" customWidth="1"/>
    <col min="12" max="12" width="10.7109375" bestFit="1" customWidth="1"/>
  </cols>
  <sheetData>
    <row r="1" spans="1:13" x14ac:dyDescent="0.25">
      <c r="A1" t="s">
        <v>61</v>
      </c>
      <c r="B1" t="s">
        <v>62</v>
      </c>
      <c r="C1" s="12" t="s">
        <v>67</v>
      </c>
      <c r="D1" t="s">
        <v>63</v>
      </c>
      <c r="E1" t="s">
        <v>64</v>
      </c>
      <c r="F1" t="s">
        <v>65</v>
      </c>
    </row>
    <row r="2" spans="1:13" x14ac:dyDescent="0.25">
      <c r="A2" s="11">
        <v>43344</v>
      </c>
      <c r="B2">
        <v>1</v>
      </c>
      <c r="C2" s="12">
        <v>1</v>
      </c>
      <c r="D2" s="11">
        <v>43347</v>
      </c>
      <c r="E2" t="s">
        <v>66</v>
      </c>
      <c r="F2" t="str">
        <f>IF(A2&gt;$L$2,"In Future",IF(E2="N",E2,(IF(D2&gt;$L$2,"N- Presented In Future","Presented"))))</f>
        <v>Presented</v>
      </c>
      <c r="K2" t="s">
        <v>61</v>
      </c>
      <c r="L2" s="11">
        <v>43358</v>
      </c>
      <c r="M2">
        <v>1</v>
      </c>
    </row>
    <row r="3" spans="1:13" x14ac:dyDescent="0.25">
      <c r="A3" s="11">
        <v>43344</v>
      </c>
      <c r="B3">
        <v>2</v>
      </c>
      <c r="C3" s="12">
        <v>1</v>
      </c>
      <c r="D3" s="11">
        <v>43347</v>
      </c>
      <c r="E3" t="s">
        <v>66</v>
      </c>
      <c r="F3" t="str">
        <f t="shared" ref="F3:F24" si="0">IF(A3&gt;$L$2,"In Future",IF(E3="N",E3,(IF(D3&gt;$L$2,"N- Presented In Future","Presented"))))</f>
        <v>Presented</v>
      </c>
    </row>
    <row r="4" spans="1:13" x14ac:dyDescent="0.25">
      <c r="A4" s="11">
        <v>43344</v>
      </c>
      <c r="B4">
        <v>3</v>
      </c>
      <c r="C4" s="12">
        <v>1</v>
      </c>
      <c r="D4" s="11">
        <v>43345</v>
      </c>
      <c r="E4" t="s">
        <v>66</v>
      </c>
      <c r="F4" t="str">
        <f t="shared" si="0"/>
        <v>Presented</v>
      </c>
      <c r="K4" t="s">
        <v>68</v>
      </c>
      <c r="L4" s="12">
        <f>SUMIFS(C:C,F:F,"N*")</f>
        <v>7</v>
      </c>
      <c r="M4" s="12"/>
    </row>
    <row r="5" spans="1:13" x14ac:dyDescent="0.25">
      <c r="A5" s="11">
        <v>43344</v>
      </c>
      <c r="B5">
        <v>4</v>
      </c>
      <c r="C5" s="12">
        <v>1</v>
      </c>
      <c r="D5" s="11">
        <v>43345</v>
      </c>
      <c r="E5" t="s">
        <v>66</v>
      </c>
      <c r="F5" t="str">
        <f t="shared" si="0"/>
        <v>Presented</v>
      </c>
      <c r="K5" t="s">
        <v>69</v>
      </c>
      <c r="L5" s="12"/>
      <c r="M5" s="14">
        <v>7</v>
      </c>
    </row>
    <row r="6" spans="1:13" x14ac:dyDescent="0.25">
      <c r="A6" s="11">
        <v>43344</v>
      </c>
      <c r="B6">
        <v>5</v>
      </c>
      <c r="C6" s="12">
        <v>1</v>
      </c>
      <c r="D6" s="11"/>
      <c r="E6" t="s">
        <v>16</v>
      </c>
      <c r="F6" t="str">
        <f t="shared" si="0"/>
        <v>N</v>
      </c>
      <c r="K6" t="s">
        <v>70</v>
      </c>
      <c r="L6" s="12"/>
      <c r="M6" s="12">
        <f>-SUMIFS(C:C,D:D,L2)</f>
        <v>0</v>
      </c>
    </row>
    <row r="7" spans="1:13" x14ac:dyDescent="0.25">
      <c r="A7" s="11">
        <v>43344</v>
      </c>
      <c r="B7">
        <v>6</v>
      </c>
      <c r="C7" s="12">
        <v>1</v>
      </c>
      <c r="D7" s="11">
        <v>43349</v>
      </c>
      <c r="E7" t="s">
        <v>66</v>
      </c>
      <c r="F7" t="str">
        <f t="shared" si="0"/>
        <v>Presented</v>
      </c>
      <c r="K7" t="s">
        <v>71</v>
      </c>
      <c r="L7" s="12"/>
      <c r="M7" s="13">
        <f>SUMIFS(C:C,A:A,L2)</f>
        <v>0</v>
      </c>
    </row>
    <row r="8" spans="1:13" x14ac:dyDescent="0.25">
      <c r="A8" s="11">
        <v>43344</v>
      </c>
      <c r="B8">
        <v>7</v>
      </c>
      <c r="C8" s="12">
        <v>1</v>
      </c>
      <c r="D8" s="11">
        <v>43349</v>
      </c>
      <c r="E8" t="s">
        <v>66</v>
      </c>
      <c r="F8" t="str">
        <f t="shared" si="0"/>
        <v>Presented</v>
      </c>
      <c r="L8" s="13">
        <f>M8</f>
        <v>7</v>
      </c>
      <c r="M8" s="12">
        <f>SUM(M5:M7)</f>
        <v>7</v>
      </c>
    </row>
    <row r="9" spans="1:13" x14ac:dyDescent="0.25">
      <c r="A9" s="11">
        <v>43344</v>
      </c>
      <c r="B9">
        <v>8</v>
      </c>
      <c r="C9" s="12">
        <v>1</v>
      </c>
      <c r="D9" s="11">
        <v>43352</v>
      </c>
      <c r="E9" t="s">
        <v>66</v>
      </c>
      <c r="F9" t="str">
        <f t="shared" si="0"/>
        <v>Presented</v>
      </c>
      <c r="K9" t="s">
        <v>72</v>
      </c>
      <c r="L9" s="12">
        <f>L4-L8</f>
        <v>0</v>
      </c>
      <c r="M9" s="12"/>
    </row>
    <row r="10" spans="1:13" x14ac:dyDescent="0.25">
      <c r="A10" s="11">
        <v>43344</v>
      </c>
      <c r="B10">
        <v>9</v>
      </c>
      <c r="C10" s="12">
        <v>1</v>
      </c>
      <c r="D10" s="11">
        <v>43344</v>
      </c>
      <c r="E10" t="s">
        <v>66</v>
      </c>
      <c r="F10" t="str">
        <f t="shared" si="0"/>
        <v>Presented</v>
      </c>
    </row>
    <row r="11" spans="1:13" x14ac:dyDescent="0.25">
      <c r="A11" s="11">
        <v>43344</v>
      </c>
      <c r="B11">
        <v>10</v>
      </c>
      <c r="C11" s="12">
        <v>1</v>
      </c>
      <c r="D11" s="11"/>
      <c r="E11" t="s">
        <v>16</v>
      </c>
      <c r="F11" t="str">
        <f t="shared" si="0"/>
        <v>N</v>
      </c>
    </row>
    <row r="12" spans="1:13" x14ac:dyDescent="0.25">
      <c r="A12" s="11">
        <v>43345</v>
      </c>
      <c r="B12">
        <v>11</v>
      </c>
      <c r="C12" s="12">
        <v>1</v>
      </c>
      <c r="D12" s="11">
        <v>43354</v>
      </c>
      <c r="E12" t="s">
        <v>66</v>
      </c>
      <c r="F12" t="str">
        <f t="shared" si="0"/>
        <v>Presented</v>
      </c>
    </row>
    <row r="13" spans="1:13" x14ac:dyDescent="0.25">
      <c r="A13" s="11">
        <v>43345</v>
      </c>
      <c r="B13">
        <v>12</v>
      </c>
      <c r="C13" s="12">
        <v>1</v>
      </c>
      <c r="D13" s="11">
        <v>43354</v>
      </c>
      <c r="E13" t="s">
        <v>66</v>
      </c>
      <c r="F13" t="str">
        <f t="shared" si="0"/>
        <v>Presented</v>
      </c>
    </row>
    <row r="14" spans="1:13" x14ac:dyDescent="0.25">
      <c r="A14" s="11">
        <v>43345</v>
      </c>
      <c r="B14">
        <v>13</v>
      </c>
      <c r="C14" s="12">
        <v>1</v>
      </c>
      <c r="D14" s="11">
        <v>43353</v>
      </c>
      <c r="E14" t="s">
        <v>66</v>
      </c>
      <c r="F14" t="str">
        <f t="shared" si="0"/>
        <v>Presented</v>
      </c>
    </row>
    <row r="15" spans="1:13" x14ac:dyDescent="0.25">
      <c r="A15" s="11">
        <v>43345</v>
      </c>
      <c r="B15">
        <v>14</v>
      </c>
      <c r="C15" s="12">
        <v>1</v>
      </c>
      <c r="D15" s="11"/>
      <c r="E15" t="s">
        <v>16</v>
      </c>
      <c r="F15" t="str">
        <f t="shared" si="0"/>
        <v>N</v>
      </c>
    </row>
    <row r="16" spans="1:13" x14ac:dyDescent="0.25">
      <c r="A16" s="11">
        <v>43345</v>
      </c>
      <c r="B16">
        <v>15</v>
      </c>
      <c r="C16" s="12">
        <v>1</v>
      </c>
      <c r="D16" s="11">
        <v>43350</v>
      </c>
      <c r="E16" t="s">
        <v>66</v>
      </c>
      <c r="F16" t="str">
        <f t="shared" si="0"/>
        <v>Presented</v>
      </c>
    </row>
    <row r="17" spans="1:6" x14ac:dyDescent="0.25">
      <c r="A17" s="11">
        <v>43346</v>
      </c>
      <c r="B17">
        <v>16</v>
      </c>
      <c r="C17" s="12">
        <v>1</v>
      </c>
      <c r="D17" s="11">
        <v>43348</v>
      </c>
      <c r="E17" t="s">
        <v>66</v>
      </c>
      <c r="F17" t="str">
        <f t="shared" si="0"/>
        <v>Presented</v>
      </c>
    </row>
    <row r="18" spans="1:6" x14ac:dyDescent="0.25">
      <c r="A18" s="11">
        <v>43347</v>
      </c>
      <c r="B18">
        <v>17</v>
      </c>
      <c r="C18" s="12">
        <v>1</v>
      </c>
      <c r="D18" s="11"/>
      <c r="E18" t="s">
        <v>16</v>
      </c>
      <c r="F18" t="str">
        <f t="shared" si="0"/>
        <v>N</v>
      </c>
    </row>
    <row r="19" spans="1:6" x14ac:dyDescent="0.25">
      <c r="A19" s="11">
        <v>43347</v>
      </c>
      <c r="B19">
        <v>18</v>
      </c>
      <c r="C19" s="12">
        <v>1</v>
      </c>
      <c r="D19" s="11">
        <v>43355</v>
      </c>
      <c r="E19" t="s">
        <v>66</v>
      </c>
      <c r="F19" t="str">
        <f t="shared" si="0"/>
        <v>Presented</v>
      </c>
    </row>
    <row r="20" spans="1:6" x14ac:dyDescent="0.25">
      <c r="A20" s="11">
        <v>43347</v>
      </c>
      <c r="B20">
        <v>19</v>
      </c>
      <c r="C20" s="12">
        <v>1</v>
      </c>
      <c r="D20" s="11">
        <v>43354</v>
      </c>
      <c r="E20" t="s">
        <v>66</v>
      </c>
      <c r="F20" t="str">
        <f t="shared" si="0"/>
        <v>Presented</v>
      </c>
    </row>
    <row r="21" spans="1:6" x14ac:dyDescent="0.25">
      <c r="A21" s="11">
        <v>43347</v>
      </c>
      <c r="B21">
        <v>20</v>
      </c>
      <c r="C21" s="12">
        <v>1</v>
      </c>
      <c r="D21" s="11">
        <v>43357</v>
      </c>
      <c r="E21" t="s">
        <v>66</v>
      </c>
      <c r="F21" t="str">
        <f t="shared" si="0"/>
        <v>Presented</v>
      </c>
    </row>
    <row r="22" spans="1:6" x14ac:dyDescent="0.25">
      <c r="A22" s="11">
        <v>43348</v>
      </c>
      <c r="B22">
        <v>21</v>
      </c>
      <c r="C22" s="12">
        <v>1</v>
      </c>
      <c r="E22" t="s">
        <v>16</v>
      </c>
      <c r="F22" t="str">
        <f t="shared" si="0"/>
        <v>N</v>
      </c>
    </row>
    <row r="23" spans="1:6" x14ac:dyDescent="0.25">
      <c r="A23" s="11">
        <v>43348</v>
      </c>
      <c r="B23">
        <v>22</v>
      </c>
      <c r="C23" s="12">
        <v>1</v>
      </c>
      <c r="E23" t="s">
        <v>16</v>
      </c>
      <c r="F23" t="str">
        <f t="shared" si="0"/>
        <v>N</v>
      </c>
    </row>
    <row r="24" spans="1:6" x14ac:dyDescent="0.25">
      <c r="A24" s="11">
        <v>43348</v>
      </c>
      <c r="B24">
        <v>23</v>
      </c>
      <c r="C24" s="12">
        <v>1</v>
      </c>
      <c r="E24" t="s">
        <v>16</v>
      </c>
      <c r="F24" t="str">
        <f t="shared" si="0"/>
        <v>N</v>
      </c>
    </row>
  </sheetData>
  <autoFilter ref="A1:F24" xr:uid="{664C6197-4340-4548-898C-E95605A7A3C4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aa">
                <anchor moveWithCells="1" sizeWithCells="1">
                  <from>
                    <xdr:col>13</xdr:col>
                    <xdr:colOff>600075</xdr:colOff>
                    <xdr:row>0</xdr:row>
                    <xdr:rowOff>171450</xdr:rowOff>
                  </from>
                  <to>
                    <xdr:col>15</xdr:col>
                    <xdr:colOff>266700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bb">
                <anchor moveWithCells="1" sizeWithCells="1">
                  <from>
                    <xdr:col>14</xdr:col>
                    <xdr:colOff>19050</xdr:colOff>
                    <xdr:row>2</xdr:row>
                    <xdr:rowOff>190500</xdr:rowOff>
                  </from>
                  <to>
                    <xdr:col>15</xdr:col>
                    <xdr:colOff>552450</xdr:colOff>
                    <xdr:row>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Sheet2</vt:lpstr>
      <vt:lpstr>Sheet3</vt:lpstr>
      <vt:lpstr>Sheet4</vt:lpstr>
      <vt:lpstr>Sheet5</vt:lpstr>
      <vt:lpstr>cheque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NKistandard</dc:creator>
  <cp:lastModifiedBy>NKistandard</cp:lastModifiedBy>
  <dcterms:created xsi:type="dcterms:W3CDTF">2018-08-06T08:41:40Z</dcterms:created>
  <dcterms:modified xsi:type="dcterms:W3CDTF">2018-09-20T08:36:21Z</dcterms:modified>
</cp:coreProperties>
</file>